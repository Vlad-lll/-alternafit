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exercicio" sheetId="2" state="visible" r:id="rId4"/>
    <sheet name="exercicio_alternativo" sheetId="3" state="visible" r:id="rId5"/>
    <sheet name="exercicio_grupo_muscular" sheetId="4" state="visible" r:id="rId6"/>
    <sheet name="exercicio_equipamento" sheetId="5" state="visible" r:id="rId7"/>
    <sheet name="exercicio_passo" sheetId="6" state="visible" r:id="rId8"/>
    <sheet name="exercicio_apelido" sheetId="7" state="visible" r:id="rId9"/>
    <sheet name="exercicio_fonte" sheetId="8" state="visible" r:id="rId10"/>
    <sheet name="grupo_muscular" sheetId="9" state="visible" r:id="rId11"/>
    <sheet name="equipamento" sheetId="10" state="visible" r:id="rId12"/>
    <sheet name="padrao_movimento" sheetId="11" state="visible" r:id="rId13"/>
    <sheet name="nivel_dificuldade" sheetId="12" state="visible" r:id="rId14"/>
    <sheet name="fonte" sheetId="13" state="visible" r:id="rId15"/>
    <sheet name="checagem_regras" sheetId="14" state="visible" r:id="rId16"/>
    <sheet name="mudancas" sheetId="15" state="visible" r:id="rId17"/>
  </sheets>
  <definedNames>
    <definedName function="false" hidden="true" localSheetId="13" name="_xlnm._FilterDatabase" vbProcedure="false">checagem_regras!$A$1:$E$90</definedName>
    <definedName function="false" hidden="true" localSheetId="9" name="_xlnm._FilterDatabase" vbProcedure="false">equipamento!$A$1:$D$32</definedName>
    <definedName function="false" hidden="true" localSheetId="1" name="_xlnm._FilterDatabase" vbProcedure="false">exercicio!$A$1:$L$90</definedName>
    <definedName function="false" hidden="true" localSheetId="2" name="_xlnm._FilterDatabase" vbProcedure="false">exercicio_alternativo!$A$1:$G$292</definedName>
    <definedName function="false" hidden="true" localSheetId="6" name="_xlnm._FilterDatabase" vbProcedure="false">exercicio_apelido!$A$1:$C$135</definedName>
    <definedName function="false" hidden="true" localSheetId="4" name="_xlnm._FilterDatabase" vbProcedure="false">exercicio_equipamento!$A$1:$D$78</definedName>
    <definedName function="false" hidden="true" localSheetId="7" name="_xlnm._FilterDatabase" vbProcedure="false">exercicio_fonte!$A$1:$D$106</definedName>
    <definedName function="false" hidden="true" localSheetId="3" name="_xlnm._FilterDatabase" vbProcedure="false">exercicio_grupo_muscular!$A$1:$E$189</definedName>
    <definedName function="false" hidden="true" localSheetId="5" name="_xlnm._FilterDatabase" vbProcedure="false">exercicio_passo!$A$1:$E$14</definedName>
    <definedName function="false" hidden="true" localSheetId="12" name="_xlnm._FilterDatabase" vbProcedure="false">fonte!$A$1:$E$101</definedName>
    <definedName function="false" hidden="true" localSheetId="8" name="_xlnm._FilterDatabase" vbProcedure="false">grupo_muscular!$A$1:$E$15</definedName>
    <definedName function="false" hidden="true" localSheetId="14" name="_xlnm._FilterDatabase" vbProcedure="false">mudancas!$A$1:$D$44</definedName>
    <definedName function="false" hidden="true" localSheetId="11" name="_xlnm._FilterDatabase" vbProcedure="false">nivel_dificuldade!$A$1:$C$4</definedName>
    <definedName function="false" hidden="true" localSheetId="10" name="_xlnm._FilterDatabase" vbProcedure="false">padrao_movimento!$A$1:$C$21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<sst xmlns="http://schemas.openxmlformats.org/spreadsheetml/2006/main" count="1683" uniqueCount="1040">
  <si>
    <t xml:space="preserve">alternafit - planilha v4 (modelo de banco de dados)</t>
  </si>
  <si>
    <t xml:space="preserve">Cada aba é uma TABELA do banco. A primeira linha é o nome das colunas (snake_case, sem acento) e cada linha seguinte é um registro.</t>
  </si>
  <si>
    <t xml:space="preserve">Os IDs são números fixos (não fórmulas): podem ser importados direto no MySQL/Django. Nunca reordene ou renumere IDs sem atualizar as tabelas que os usam.</t>
  </si>
  <si>
    <t xml:space="preserve">Colunas cinza (começam com _aux_ ou _calc_) são só para leitura humana/validação: NÃO importar no banco.</t>
  </si>
  <si>
    <t xml:space="preserve">TABELAS</t>
  </si>
  <si>
    <t xml:space="preserve">  Cadastros (lookup): nivel_dificuldade, grupo_muscular, equipamento, padrao_movimento, fonte</t>
  </si>
  <si>
    <t xml:space="preserve">  Principal: exercicio (1 linha por exercício, nome único em português; termo em inglês em nome_en)</t>
  </si>
  <si>
    <t xml:space="preserve">  Relacionamentos N-N: exercicio_grupo_muscular, exercicio_equipamento, exercicio_alternativo, exercicio_fonte</t>
  </si>
  <si>
    <t xml:space="preserve">  Detalhes: exercicio_passo (passo a passo), exercicio_apelido (nomes alternativos para a busca)</t>
  </si>
  <si>
    <t xml:space="preserve">  Conferência: checagem_regras (confere automaticamente a regra de 2 a 4 alternativas com 1 sem equipamento) e mudancas</t>
  </si>
  <si>
    <t xml:space="preserve">REGRAS DO MODELO</t>
  </si>
  <si>
    <t xml:space="preserve">  1. Nenhum exercício aparece duas vezes. Variações reais (ex.: Encolhimento com Halteres x com Barra) são exercícios distintos; tradução do mesmo exercício vira apelido.</t>
  </si>
  <si>
    <t xml:space="preserve">  2. Equipamentos e grupos musculares só existem nas abas equipamento e grupo_muscular. Para filtrar no app, use o id/nome dessas tabelas, nunca texto livre.</t>
  </si>
  <si>
    <t xml:space="preserve">  3. 'Sem equipamento' = o exercício não tem NENHUMA linha em exercicio_equipamento (nenhum objeto; parede e chão não contam). Isso é calculado, não digitado.</t>
  </si>
  <si>
    <t xml:space="preserve">  4. exercicio_alternativo só aceita IDs que existem em exercicio. Cada exercício precisa de 2 a 4 alternativas, com pelo menos 1 sem equipamento (ver checagem_regras).</t>
  </si>
  <si>
    <t xml:space="preserve">  5. exercicio_grupo_muscular: papel = PRIMARIO (principal) ou SECUNDARIO (auxiliar).</t>
  </si>
  <si>
    <t xml:space="preserve">  6. nivel_id: 1 = Iniciante, 2 = Intermediário, 3 = Avançado. A maioria dos níveis é estimada (só a ACE classifica dificuldade): validar com o professor.</t>
  </si>
  <si>
    <t xml:space="preserve">COMO ADICIONAR UM EXERCÍCIO</t>
  </si>
  <si>
    <t xml:space="preserve">  a) Nova linha em exercicio (próximo id) -&gt; b) linhas em exercicio_grupo_muscular -&gt; c) linhas em exercicio_equipamento (nenhuma se for só peso do corpo)</t>
  </si>
  <si>
    <t xml:space="preserve">  d) 2 a 4 linhas em exercicio_alternativo (com 1 sem equipamento) -&gt; e) fonte(s) em exercicio_fonte -&gt; f) confira a aba checagem_regras.</t>
  </si>
  <si>
    <t xml:space="preserve">Coluna status_dados (aba exercicio): 'Com fonte' = confirmado em fonte técnica (ver exercicio_fonte); 'Sem fonte - dado do Lucas' e 'Sem fonte específica (revisar)' = precisam de validação.</t>
  </si>
  <si>
    <t xml:space="preserve">id</t>
  </si>
  <si>
    <t xml:space="preserve">nome</t>
  </si>
  <si>
    <t xml:space="preserve">nome_en</t>
  </si>
  <si>
    <t xml:space="preserve">descricao</t>
  </si>
  <si>
    <t xml:space="preserve">nivel_id</t>
  </si>
  <si>
    <t xml:space="preserve">padrao_movimento_id</t>
  </si>
  <si>
    <t xml:space="preserve">dica_execucao</t>
  </si>
  <si>
    <t xml:space="preserve">video_url</t>
  </si>
  <si>
    <t xml:space="preserve">status_dados</t>
  </si>
  <si>
    <t xml:space="preserve">observacao</t>
  </si>
  <si>
    <t xml:space="preserve">_calc_exige_equipamento</t>
  </si>
  <si>
    <t xml:space="preserve">_calc_n_alternativas</t>
  </si>
  <si>
    <t xml:space="preserve">Supino Reto com Barra</t>
  </si>
  <si>
    <t xml:space="preserve">Barbell Bench Press</t>
  </si>
  <si>
    <t xml:space="preserve">Pressão horizontal com barra, deitado em banco reto, principal exercício composto de peitoral</t>
  </si>
  <si>
    <t xml:space="preserve">Mantenha os cotovelos a cerca de 45-75° do tronco na descida (não a 90°); não trave o cotovelo no topo do movimento</t>
  </si>
  <si>
    <t xml:space="preserve">Com fonte</t>
  </si>
  <si>
    <t xml:space="preserve">Supino Inclinado com Halteres</t>
  </si>
  <si>
    <t xml:space="preserve">Incline Dumbbell Press</t>
  </si>
  <si>
    <t xml:space="preserve">Pressão em banco inclinado (30°), enfatiza a porção clavicular (superior) do peitoral maior</t>
  </si>
  <si>
    <t xml:space="preserve">Não trave os cotovelos no topo; não deixe os halteres caírem rápido nem 'quicar' no fundo do movimento</t>
  </si>
  <si>
    <t xml:space="preserve">https://www.youtube.com/watch?v=F4Q1g2z8MWM</t>
  </si>
  <si>
    <t xml:space="preserve">Voador Peitoral</t>
  </si>
  <si>
    <t xml:space="preserve">Pec Deck Fly</t>
  </si>
  <si>
    <t xml:space="preserve">Movimento de adução horizontal dos braços na máquina peck deck, isola o peitoral com trajetória guiada</t>
  </si>
  <si>
    <t xml:space="preserve">Ajuste banco e manoplas para apoiar os cotovelos com os braços na horizontal; mantenha leve flexão fixa nos cotovelos e controle a volta</t>
  </si>
  <si>
    <t xml:space="preserve">https://www.youtube.com/watch?v=QRehkbV0R48</t>
  </si>
  <si>
    <t xml:space="preserve">Flexão de Braço</t>
  </si>
  <si>
    <t xml:space="preserve">Push-up</t>
  </si>
  <si>
    <t xml:space="preserve">Empurra o corpo do chão com os braços, mantendo o corpo alinhado da cabeça aos pés</t>
  </si>
  <si>
    <t xml:space="preserve">Contraia o abdômen para manter o tronco firme e o corpo em linha reta da cabeça aos pés; mãos na largura dos ombros, pense em empurrar o chão</t>
  </si>
  <si>
    <t xml:space="preserve">Nível 2 conforme ACE (Intermediário). Versão mais fácil: flexão com as mãos apoiadas na parede</t>
  </si>
  <si>
    <t xml:space="preserve">Flexão com Apoio Afastado</t>
  </si>
  <si>
    <t xml:space="preserve">Wide Push-up</t>
  </si>
  <si>
    <t xml:space="preserve">Flexão com as mãos mais afastadas que os ombros, maior ênfase no peitoral</t>
  </si>
  <si>
    <t xml:space="preserve">Mãos mais afastadas que os ombros, desça flexionando os cotovelos para os lados até o peito ficar logo abaixo da linha dos cotovelos</t>
  </si>
  <si>
    <t xml:space="preserve">Flexão com Pés Elevados</t>
  </si>
  <si>
    <t xml:space="preserve">Decline Push-up</t>
  </si>
  <si>
    <t xml:space="preserve">Flexão com os pés apoiados em um ponto mais alto (parede), enfatiza a parte superior do peitoral e os ombros</t>
  </si>
  <si>
    <t xml:space="preserve">Mãos um pouco mais largas que os ombros, corpo reto da cabeça aos pés; quanto mais alto o apoio dos pés, maior a ênfase na parte superior do peitoral/deltoide anterior</t>
  </si>
  <si>
    <t xml:space="preserve">Pés apoiados na parede (parede não conta como equipamento)</t>
  </si>
  <si>
    <t xml:space="preserve">Mergulho em Paralelas</t>
  </si>
  <si>
    <t xml:space="preserve">Parallel Bar Dip</t>
  </si>
  <si>
    <t xml:space="preserve">Desce e sobe o corpo apoiado em barras paralelas, flexionando e estendendo os cotovelos</t>
  </si>
  <si>
    <t xml:space="preserve">Segure as barras na largura dos ombros; desça controlando até os braços ficarem paralelos ao chão (mais fundo só se não houver dor) e suba estendendo os cotovelos</t>
  </si>
  <si>
    <t xml:space="preserve">Flexão Diamante</t>
  </si>
  <si>
    <t xml:space="preserve">Diamond Push-up</t>
  </si>
  <si>
    <t xml:space="preserve">Flexão com as mãos juntas formando um diamante sob o peito, maior ênfase no tríceps</t>
  </si>
  <si>
    <t xml:space="preserve">Mãos juntas sob o peito formando um diamante, cotovelos colados ao tronco, descer até quase tocar o peito no chão</t>
  </si>
  <si>
    <t xml:space="preserve">Flexão em Pique</t>
  </si>
  <si>
    <t xml:space="preserve">Pike Push-up</t>
  </si>
  <si>
    <t xml:space="preserve">Flexão com o quadril elevado em V invertido; simula o desenvolvimento de ombros</t>
  </si>
  <si>
    <t xml:space="preserve">Posição de V invertido, cotovelos a ~45° do corpo, desça a cabeça em direção ao chão sem deixar o quadril cair</t>
  </si>
  <si>
    <t xml:space="preserve">Flexão nas Pontas dos Dedos</t>
  </si>
  <si>
    <t xml:space="preserve">Fingertip Push-up</t>
  </si>
  <si>
    <t xml:space="preserve">Flexão apoiada apenas nas pontas dos dedos; exige grande força de preensão (começar com joelhos no chão)</t>
  </si>
  <si>
    <t xml:space="preserve">Flexão de braço apoiada apenas nas pontas dos dedos; exige grande força de preensão. Fazer primeiro com os joelhos no chão</t>
  </si>
  <si>
    <t xml:space="preserve">Desenvolvimento com Halteres</t>
  </si>
  <si>
    <t xml:space="preserve">Dumbbell Shoulder Press</t>
  </si>
  <si>
    <t xml:space="preserve">Pressão vertical dos halteres acima da cabeça, sentado ou em pé, principal exercício composto de deltoide anterior</t>
  </si>
  <si>
    <t xml:space="preserve">Mantenha o core contraído para estabilizar o tronco; evite hiperextensão lombar; desça os halteres de forma controlada até a altura dos ombros</t>
  </si>
  <si>
    <t xml:space="preserve">https://www.youtube.com/watch?v=eufDL9MmF8A</t>
  </si>
  <si>
    <t xml:space="preserve">Nível revisado de 3 para 2 na pesquisa - confirmar com professor</t>
  </si>
  <si>
    <t xml:space="preserve">Elevação Lateral no Cabo</t>
  </si>
  <si>
    <t xml:space="preserve">Cable Lateral Raise</t>
  </si>
  <si>
    <t xml:space="preserve">Elevação do braço lateralmente contra a resistência de um cabo/polia baixa, isola a porção lateral do deltoide</t>
  </si>
  <si>
    <t xml:space="preserve">Fique de pé próximo à polia; eleve a alça lateralmente e com controle até o braço ficar na horizontal; priorize execução estrita com carga leve</t>
  </si>
  <si>
    <t xml:space="preserve">https://www.youtube.com/watch?v=9zh-c9JQN9k</t>
  </si>
  <si>
    <t xml:space="preserve">Elevação Lateral na Máquina</t>
  </si>
  <si>
    <t xml:space="preserve">Machine Lateral Raise</t>
  </si>
  <si>
    <t xml:space="preserve">Elevação lateral dos braços em máquina guiada; isola o deltoide lateral</t>
  </si>
  <si>
    <t xml:space="preserve">Ajuste o banco para alinhar os ombros ao eixo da máquina; eleve os braços até a altura dos ombros sem encolher o trapézio</t>
  </si>
  <si>
    <t xml:space="preserve">Crucifixo Invertido na Polia</t>
  </si>
  <si>
    <t xml:space="preserve">Cable Reverse Fly</t>
  </si>
  <si>
    <t xml:space="preserve">Abertura horizontal dos braços contra a resistência de duas polias cruzadas, isola a porção posterior do deltoide</t>
  </si>
  <si>
    <t xml:space="preserve">Posicione duas polias na altura dos ombros; segure a alça oposta com cada mão; abra os braços até a altura dos ombros, pausando antes de retornar devagar</t>
  </si>
  <si>
    <t xml:space="preserve">https://www.youtube.com/watch?v=vVDeOaw1T5g</t>
  </si>
  <si>
    <t xml:space="preserve">Elevação Prona em T</t>
  </si>
  <si>
    <t xml:space="preserve">Prone T-Raise</t>
  </si>
  <si>
    <t xml:space="preserve">Deitado de bruços, eleva os braços abertos em T; trabalha deltoide posterior e escápulas</t>
  </si>
  <si>
    <t xml:space="preserve">Deite de bruços, braços abertos em T com palmas para baixo; eleve os braços poucos centímetros do chão, segure e desça devagar</t>
  </si>
  <si>
    <t xml:space="preserve">Anjo da Neve Invertido</t>
  </si>
  <si>
    <t xml:space="preserve">Reverse Snow Angel</t>
  </si>
  <si>
    <t xml:space="preserve">Deitado de bruços, move os braços em arco como um anjo na neve ao contrário</t>
  </si>
  <si>
    <t xml:space="preserve">Deite de bruços, junte as escápulas, mova os braços simulando um anjo na neve ao contrário, sem encolher os ombros</t>
  </si>
  <si>
    <t xml:space="preserve">Puxada Alta</t>
  </si>
  <si>
    <t xml:space="preserve">Lat Pulldown</t>
  </si>
  <si>
    <t xml:space="preserve">Puxada da barra na polia alta até a parte superior do peito, sentado</t>
  </si>
  <si>
    <t xml:space="preserve">Puxe os cotovelos para baixo e para trás, levando a barra até abaixo do queixo; junte as escápulas no final; evite usar o corpo para dar embalo</t>
  </si>
  <si>
    <t xml:space="preserve">https://www.youtube.com/watch?v=mPmfwbc_svw</t>
  </si>
  <si>
    <t xml:space="preserve">Remada Baixa</t>
  </si>
  <si>
    <t xml:space="preserve">Seated Cable Row</t>
  </si>
  <si>
    <t xml:space="preserve">Remada sentado na polia baixa com puxador triângulo, tronco ereto</t>
  </si>
  <si>
    <t xml:space="preserve">Mantenha o tronco ereto, cotovelos próximos ao corpo, puxe até o abdômen e junte as escápulas; não deixe os ombros subirem em direção às orelhas</t>
  </si>
  <si>
    <t xml:space="preserve">https://www.youtube.com/watch?v=f8AVh4VBbos</t>
  </si>
  <si>
    <t xml:space="preserve">Remada Unilateral Articulada</t>
  </si>
  <si>
    <t xml:space="preserve">Machine One-Arm Row</t>
  </si>
  <si>
    <t xml:space="preserve">Remada em máquina articulada (iso-lateral) com apoio de peito, um braço por vez ou os dois juntos</t>
  </si>
  <si>
    <t xml:space="preserve">Mantenha o peito apoiado no encosto e puxe a manopla levando o cotovelo para trás; contraia por 1-2 s antes de voltar, sem girar o tronco</t>
  </si>
  <si>
    <t xml:space="preserve">Nível revisado de 1 para 2 na pesquisa - confirmar com professor</t>
  </si>
  <si>
    <t xml:space="preserve">Puxada Unilateral na Polia</t>
  </si>
  <si>
    <t xml:space="preserve">Single-Arm Cable Pulldown</t>
  </si>
  <si>
    <t xml:space="preserve">Puxada de um braço por vez na polia alta</t>
  </si>
  <si>
    <t xml:space="preserve">Sentado de frente para a polia alta, puxe o cabo com um braço até a altura do queixo/peito, controlando a volta</t>
  </si>
  <si>
    <t xml:space="preserve">Remada Invertida</t>
  </si>
  <si>
    <t xml:space="preserve">Inverted Row</t>
  </si>
  <si>
    <t xml:space="preserve">Deitado sob uma barra baixa, puxa o peito até a barra com o corpo reto</t>
  </si>
  <si>
    <t xml:space="preserve">Deite-se sob uma barra na altura da cintura, pegada pronada, corpo reto, puxe o peito até a barra apertando as escápulas</t>
  </si>
  <si>
    <t xml:space="preserve">Exige uma barra (barra baixa, Smith ou rack): conta como equipamento</t>
  </si>
  <si>
    <t xml:space="preserve">Barra Fixa</t>
  </si>
  <si>
    <t xml:space="preserve">Pull-up</t>
  </si>
  <si>
    <t xml:space="preserve">Pendurado na barra fixa, puxa o corpo para cima até o queixo passar da barra</t>
  </si>
  <si>
    <t xml:space="preserve">Pegada pronada, um pouco mais larga que os ombros; puxe até o queixo passar da barra, sem balançar as pernas</t>
  </si>
  <si>
    <t xml:space="preserve">Barra fixa conta como equipamento</t>
  </si>
  <si>
    <t xml:space="preserve">Encolhimento com Halteres</t>
  </si>
  <si>
    <t xml:space="preserve">Dumbbell Shrug</t>
  </si>
  <si>
    <t xml:space="preserve">Eleva os ombros em direção às orelhas segurando halteres, sem flexionar os cotovelos</t>
  </si>
  <si>
    <t xml:space="preserve">Puxe os ombros para baixo e para trás antes de iniciar; suba só com os ombros (sem usar os braços), pausa breve no topo e desça controlado</t>
  </si>
  <si>
    <t xml:space="preserve">Encolhimento com Barra</t>
  </si>
  <si>
    <t xml:space="preserve">Barbell Shrug</t>
  </si>
  <si>
    <t xml:space="preserve">Eleva os ombros em direção às orelhas segurando uma barra, sem flexionar os cotovelos</t>
  </si>
  <si>
    <t xml:space="preserve">Segure a barra à frente das coxas com pegada na largura dos ombros; eleve os ombros em direção às orelhas, pause e desça controlando</t>
  </si>
  <si>
    <t xml:space="preserve">Elevação Prona em Y</t>
  </si>
  <si>
    <t xml:space="preserve">Prone Y-Raise</t>
  </si>
  <si>
    <t xml:space="preserve">Deitado de bruços, braços em Y acima da cabeça; levanta peito e braços do chão</t>
  </si>
  <si>
    <t xml:space="preserve">Deitado de bruços, braços estendidos em Y acima da cabeça; levante peito e braços do chão simultaneamente, segure 1-2s e desça controlado</t>
  </si>
  <si>
    <t xml:space="preserve">Anjo e Diabo Prono</t>
  </si>
  <si>
    <t xml:space="preserve">Prone Angel and Devil</t>
  </si>
  <si>
    <t xml:space="preserve">Deitado de bruços, abre os braços em arco até a lombar, virando as palmas para cima</t>
  </si>
  <si>
    <t xml:space="preserve">Deitado de bruços, peito levantado, braços em posição de oração; abra os braços em arco até a lombar, virando as palmas para cima</t>
  </si>
  <si>
    <t xml:space="preserve">Hiperextensão Lombar</t>
  </si>
  <si>
    <t xml:space="preserve">Back Extension</t>
  </si>
  <si>
    <t xml:space="preserve">Extensão de tronco em banco romano, apoiando quadril/pernas, sobe e desce o tronco</t>
  </si>
  <si>
    <t xml:space="preserve">Desça o tronco controlado, contraia os eretores da espinha para subir até formar uma linha reta da cabeça aos calcanhares; não hiperestenda além da linha neutra</t>
  </si>
  <si>
    <t xml:space="preserve">Good Morning</t>
  </si>
  <si>
    <t xml:space="preserve">Com a barra nas costas, flexiona o quadril levando o tronco à frente com a coluna reta</t>
  </si>
  <si>
    <t xml:space="preserve">Barra apoiada na parte superior das costas, flexione o quadril para frente mantendo a coluna reta até quase paralelo ao chão</t>
  </si>
  <si>
    <t xml:space="preserve">A lombar trabalha principalmente de forma isométrica; motor primário é posterior de coxa/glúteos</t>
  </si>
  <si>
    <t xml:space="preserve">Superman</t>
  </si>
  <si>
    <t xml:space="preserve">Deitado de bruços, levanta braços e pernas do chão ao mesmo tempo, trabalhando a lombar</t>
  </si>
  <si>
    <t xml:space="preserve">Deitado de bruços, pernas e braços estendidos; levante braços e pernas ~15cm do chão simultaneamente, contraindo glúteos, core e lombar; segure 2-3s</t>
  </si>
  <si>
    <t xml:space="preserve">Rosca Direta na Polia Baixa</t>
  </si>
  <si>
    <t xml:space="preserve">Cable Biceps Curl</t>
  </si>
  <si>
    <t xml:space="preserve">Flexão de cotovelos em pé, puxando a barra (ou corda) da polia baixa</t>
  </si>
  <si>
    <t xml:space="preserve">Não deixe o braço ir para trás durante a subida; mantenha-o parado ou levemente à frente do tronco</t>
  </si>
  <si>
    <t xml:space="preserve">https://www.youtube.com/watch?v=zqklqTcOsbo</t>
  </si>
  <si>
    <t xml:space="preserve">Rosca Scott na Máquina</t>
  </si>
  <si>
    <t xml:space="preserve">Machine Preacher Curl</t>
  </si>
  <si>
    <t xml:space="preserve">Flexão de cotovelos com apoio do braço em banco Scott (máquina), isola o bíceps</t>
  </si>
  <si>
    <t xml:space="preserve">Apoie bem a parte de trás do braço no banco para isolar o bíceps</t>
  </si>
  <si>
    <t xml:space="preserve">https://www.youtube.com/watch?v=dVKX-gyJYSI</t>
  </si>
  <si>
    <t xml:space="preserve">Fonte parcial: conteúdo da página não pôde ser conferido - revisar</t>
  </si>
  <si>
    <t xml:space="preserve">Rosca Inclinada com Halteres</t>
  </si>
  <si>
    <t xml:space="preserve">Incline Dumbbell Curl</t>
  </si>
  <si>
    <t xml:space="preserve">Rosca de bíceps sentado em banco inclinado (45°), braços pendendo atrás do tronco</t>
  </si>
  <si>
    <t xml:space="preserve">Sente no banco inclinado e deixe os braços pendurados retos ao lado do corpo, levemente atrás do tronco; flexione só os cotovelos</t>
  </si>
  <si>
    <t xml:space="preserve">https://www.youtube.com/watch?v=Os0CbdSre6I</t>
  </si>
  <si>
    <t xml:space="preserve">Rosca Scott com Halteres</t>
  </si>
  <si>
    <t xml:space="preserve">Dumbbell Preacher Curl</t>
  </si>
  <si>
    <t xml:space="preserve">Rosca de bíceps com o braço apoiado no banco Scott, usando halteres</t>
  </si>
  <si>
    <t xml:space="preserve">Um braço por vez, com a parte de trás do braço bem apoiada no banco Scott; permite corrigir desequilíbrios entre os lados</t>
  </si>
  <si>
    <t xml:space="preserve">Rosca de Bíceps com Autorresistência</t>
  </si>
  <si>
    <t xml:space="preserve">Self-Resisted Biceps Curl</t>
  </si>
  <si>
    <t xml:space="preserve">Um braço faz a rosca contra a resistência da outra mão, sem nenhum objeto</t>
  </si>
  <si>
    <t xml:space="preserve">Com um braço, puxe o pulso do outro braço para baixo enquanto esse braço tenta flexionar o cotovelo contra essa resistência; alternar os lados. Eficácia reduzida comparada a exercícios com carga real</t>
  </si>
  <si>
    <t xml:space="preserve">Eficácia reduzida vs. exercícios com carga; isolar bíceps sem objeto é limitado. Única opção sem equipamento para bíceps</t>
  </si>
  <si>
    <t xml:space="preserve">Tríceps Pulley</t>
  </si>
  <si>
    <t xml:space="preserve">Triceps Pushdown</t>
  </si>
  <si>
    <t xml:space="preserve">Extensão de cotovelos em pé na polia alta, com barra ou corda</t>
  </si>
  <si>
    <t xml:space="preserve">Comece com a barra na altura do peito e os cotovelos junto ao corpo; estenda só os antebraços, sem mover os cotovelos</t>
  </si>
  <si>
    <t xml:space="preserve">https://www.youtube.com/watch?v=2X15sDkPQc0</t>
  </si>
  <si>
    <t xml:space="preserve">Tríceps Testa na Polia</t>
  </si>
  <si>
    <t xml:space="preserve">Cable Skull Crusher</t>
  </si>
  <si>
    <t xml:space="preserve">Deitado em um banco de frente para a polia, estende os cotovelos puxando a barra ou corda da polia</t>
  </si>
  <si>
    <t xml:space="preserve">Desça a barra flexionando os cotovelos; perto da cabeça, leve os cotovelos levemente para trás para a barra passar</t>
  </si>
  <si>
    <t xml:space="preserve">https://www.youtube.com/watch?v=OxsOGLqk8M0</t>
  </si>
  <si>
    <t xml:space="preserve">Tríceps Francês na Polia</t>
  </si>
  <si>
    <t xml:space="preserve">Cable Overhead Triceps Extension</t>
  </si>
  <si>
    <t xml:space="preserve">De costas para a polia baixa, estende os cotovelos acima da cabeça puxando a corda</t>
  </si>
  <si>
    <t xml:space="preserve">Mantenha os cotovelos apontados para a frente, funcionando como um pivô fixo</t>
  </si>
  <si>
    <t xml:space="preserve">https://www.youtube.com/watch?v=PlQOxSm_ZWI</t>
  </si>
  <si>
    <t xml:space="preserve">Rosca de Punho com Halteres</t>
  </si>
  <si>
    <t xml:space="preserve">Dumbbell Wrist Curl</t>
  </si>
  <si>
    <t xml:space="preserve">Flexão de punho (palmas para cima) com antebraços apoiados em um banco, halteres pendendo das mãos</t>
  </si>
  <si>
    <t xml:space="preserve">Apoie os antebraços no banco com os punhos soltos na ponta; flexione só o punho, sem mover o cotovelo; desça lentamente até o alongamento máximo</t>
  </si>
  <si>
    <t xml:space="preserve">Rosca de Punho com Barra</t>
  </si>
  <si>
    <t xml:space="preserve">Barbell Wrist Curl</t>
  </si>
  <si>
    <t xml:space="preserve">Flexão de punho com barra reta ou W nas duas mãos, antebraços apoiados</t>
  </si>
  <si>
    <t xml:space="preserve">Antebraços apoiados no banco ou nas coxas, palmas para cima; flexione só os punhos e desça devagar até o alongamento</t>
  </si>
  <si>
    <t xml:space="preserve">Rosca de Punho Reversa com Halteres</t>
  </si>
  <si>
    <t xml:space="preserve">Reverse Wrist Curl</t>
  </si>
  <si>
    <t xml:space="preserve">Extensão de punho (palmas para baixo) com antebraços apoiados no banco</t>
  </si>
  <si>
    <t xml:space="preserve">Antebraços apoiados no banco com palmas para baixo; eleve os punhos contraindo os extensores do antebraço</t>
  </si>
  <si>
    <t xml:space="preserve">Suspensão na Barra</t>
  </si>
  <si>
    <t xml:space="preserve">Dead Hang</t>
  </si>
  <si>
    <t xml:space="preserve">Pendurar-se em uma barra fixa com pegada pronada, sustentando o próprio peso pela força de preensão</t>
  </si>
  <si>
    <t xml:space="preserve">Pegada pronada, um pouco mais larga que os ombros; deixe o corpo relaxar, ombros e cotovelos totalmente estendidos; aperte a barra com força máxima</t>
  </si>
  <si>
    <t xml:space="preserve">Caminhada do Fazendeiro</t>
  </si>
  <si>
    <t xml:space="preserve">Farmer's Walk</t>
  </si>
  <si>
    <t xml:space="preserve">Caminha segurando halteres pesados ao lado do corpo, apertando forte a pegada</t>
  </si>
  <si>
    <t xml:space="preserve">Caminhar segurando halteres ou kettlebells pesados ao lado do corpo, sem usar straps/gancho de apoio</t>
  </si>
  <si>
    <t xml:space="preserve">Cadeira Extensora</t>
  </si>
  <si>
    <t xml:space="preserve">Leg Extension</t>
  </si>
  <si>
    <t xml:space="preserve">Extensão de joelhos sentado em máquina, isola o quadríceps</t>
  </si>
  <si>
    <t xml:space="preserve">Mantenha o tronco encostado e estenda os joelhos com controle até ficarem retos; desça devagar</t>
  </si>
  <si>
    <t xml:space="preserve">https://www.youtube.com/watch?v=pJZXbaF-MCM</t>
  </si>
  <si>
    <t xml:space="preserve">Leg Press</t>
  </si>
  <si>
    <t xml:space="preserve">Empurra a plataforma com as pernas, sentado/recostado na máquina</t>
  </si>
  <si>
    <t xml:space="preserve">Os joelhos devem seguir a linha das pontas dos pés; não deixe o joelho travar nem a lombar descolar do encosto</t>
  </si>
  <si>
    <t xml:space="preserve">https://www.youtube.com/watch?v=uAhwZitFh3g</t>
  </si>
  <si>
    <t xml:space="preserve">Agachamento Livre com Barra</t>
  </si>
  <si>
    <t xml:space="preserve">Barbell Back Squat</t>
  </si>
  <si>
    <t xml:space="preserve">Agachamento com barra apoiada nos ombros, exige estabilização do corpo inteiro</t>
  </si>
  <si>
    <t xml:space="preserve">Desça até as coxas passarem da paralela ou até seu limite natural, mantendo o peso sobre o meio do pé e a coluna neutra</t>
  </si>
  <si>
    <t xml:space="preserve">https://www.youtube.com/watch?v=nrM8zB5-gtE</t>
  </si>
  <si>
    <t xml:space="preserve">Agachamento com Peso do Corpo</t>
  </si>
  <si>
    <t xml:space="preserve">Bodyweight Squat</t>
  </si>
  <si>
    <t xml:space="preserve">Agachamento sem carga, com os pés na largura dos ombros</t>
  </si>
  <si>
    <t xml:space="preserve">Pés na largura dos ombros, quadril para trás antes de dobrar os joelhos, não trave os joelhos no topo</t>
  </si>
  <si>
    <t xml:space="preserve">Afundo</t>
  </si>
  <si>
    <t xml:space="preserve">Forward Lunge</t>
  </si>
  <si>
    <t xml:space="preserve">Passo à frente descendo até a coxa ficar quase paralela ao chão, depois volta empurrando com a perna da frente</t>
  </si>
  <si>
    <t xml:space="preserve">Passo à frente, desça até a coxa da frente ficar quase paralela ao chão, empurre com a perna da frente para voltar</t>
  </si>
  <si>
    <t xml:space="preserve">Agachamento Búlgaro</t>
  </si>
  <si>
    <t xml:space="preserve">Bulgarian Split Squat</t>
  </si>
  <si>
    <t xml:space="preserve">Agachamento unilateral com o pé de trás apoiado em um banco</t>
  </si>
  <si>
    <t xml:space="preserve">Apoie só a ponta do pé de trás no banco, mantenha o joelho da frente alinhado com o pé</t>
  </si>
  <si>
    <t xml:space="preserve">O banco conta como equipamento</t>
  </si>
  <si>
    <t xml:space="preserve">Cadeira Flexora</t>
  </si>
  <si>
    <t xml:space="preserve">Seated Leg Curl</t>
  </si>
  <si>
    <t xml:space="preserve">Flexão de joelhos sentado em máquina, isola o posterior de coxa</t>
  </si>
  <si>
    <t xml:space="preserve">Alinhe os joelhos com o eixo da máquina e trave as coxas no apoio; flexione os joelhos e controle a volta</t>
  </si>
  <si>
    <t xml:space="preserve">https://www.youtube.com/watch?v=ra3Sf4-RFr8</t>
  </si>
  <si>
    <t xml:space="preserve">Stiff</t>
  </si>
  <si>
    <t xml:space="preserve">Stiff-Leg Deadlift</t>
  </si>
  <si>
    <t xml:space="preserve">Levantamento terra com as pernas quase estendidas, foco no posterior de coxa e glúteos</t>
  </si>
  <si>
    <t xml:space="preserve">Desça apenas até o ponto em que conseguir manter a coluna neutra e sentir o alongamento do posterior de coxa</t>
  </si>
  <si>
    <t xml:space="preserve">https://www.youtube.com/watch?v=F8q6ZIizAcY</t>
  </si>
  <si>
    <t xml:space="preserve">Também pode ser feito com halteres</t>
  </si>
  <si>
    <t xml:space="preserve">Stiff Unilateral</t>
  </si>
  <si>
    <t xml:space="preserve">Single-Leg RDL</t>
  </si>
  <si>
    <t xml:space="preserve">Apoiado em uma perna, flexiona o quadril levando tronco e perna livre à horizontal, mantendo a lombar neutra</t>
  </si>
  <si>
    <t xml:space="preserve">Apoie-se em uma perna, flexione o quadril levando o tronco e a perna livre para a horizontal, mantenha a lombar neutra, suba contraindo glúteo e posterior de coxa</t>
  </si>
  <si>
    <t xml:space="preserve">Levantamento Terra</t>
  </si>
  <si>
    <t xml:space="preserve">Deadlift</t>
  </si>
  <si>
    <t xml:space="preserve">Levanta a barra do chão estendendo quadril e joelhos simultaneamente, exercício completo de força</t>
  </si>
  <si>
    <t xml:space="preserve">Empurre o chão com os pés (como num leg press), em vez de tentar puxar a barra com as costas; mantenha a barra próxima ao corpo</t>
  </si>
  <si>
    <t xml:space="preserve">https://www.youtube.com/watch?v=QiqUXcz2iyA</t>
  </si>
  <si>
    <t xml:space="preserve">Elevação Pélvica com Peso do Corpo</t>
  </si>
  <si>
    <t xml:space="preserve">Glute Bridge</t>
  </si>
  <si>
    <t xml:space="preserve">Deitado de costas, joelhos flexionados, sobe o quadril contraindo o glúteo, sem carga</t>
  </si>
  <si>
    <t xml:space="preserve">Deitado de costas, joelhos flexionados, pés no chão, suba o quadril contraindo o glúteo, sem carga</t>
  </si>
  <si>
    <t xml:space="preserve">Elevação Pélvica com Barra</t>
  </si>
  <si>
    <t xml:space="preserve">Barbell Hip Thrust</t>
  </si>
  <si>
    <t xml:space="preserve">Ponte de glúteo com carga (barra) sobre o quadril, ombros apoiados em um banco</t>
  </si>
  <si>
    <t xml:space="preserve">Apoie as escápulas no banco, queixo recolhido, suba o quadril contraindo bem o glúteo no topo, sem hiperestender a lombar</t>
  </si>
  <si>
    <t xml:space="preserve">Elevação de Panturrilha em Pé com Peso do Corpo</t>
  </si>
  <si>
    <t xml:space="preserve">Bodyweight Standing Calf Raise</t>
  </si>
  <si>
    <t xml:space="preserve">Em pé, sobe na ponta dos pés o mais alto possível e desce controlando</t>
  </si>
  <si>
    <t xml:space="preserve">Em pé, mãos apoiadas na parede, suba na ponta dos pés o mais alto possível mantendo os joelhos estendidos; pause e desça controlando</t>
  </si>
  <si>
    <t xml:space="preserve">Elevação de Panturrilha Unilateral com Peso do Corpo</t>
  </si>
  <si>
    <t xml:space="preserve">Single-Leg Calf Raise</t>
  </si>
  <si>
    <t xml:space="preserve">Em pé sobre uma perna (apoio leve de uma mão para equilíbrio), sobe e desce na ponta do pé</t>
  </si>
  <si>
    <t xml:space="preserve">Em pé em uma perna, apoio de uma mão para equilíbrio, suba e desça na ponta do pé</t>
  </si>
  <si>
    <t xml:space="preserve">Elevação de Panturrilha em Pé na Máquina</t>
  </si>
  <si>
    <t xml:space="preserve">Standing Machine Calf Raise</t>
  </si>
  <si>
    <t xml:space="preserve">Em pé na máquina, com os ombros sob as almofadas, sobe e desce na ponta dos pés</t>
  </si>
  <si>
    <t xml:space="preserve">Apoie a ponta dos pés na plataforma e os ombros nas almofadas; desça os calcanhares controlando e suba estendendo os tornozelos</t>
  </si>
  <si>
    <t xml:space="preserve">Fonte corrigida: a ACE #294 usada antes é de outro exercício (sentado, pernas estendidas)</t>
  </si>
  <si>
    <t xml:space="preserve">Elevação de Panturrilha com Barra</t>
  </si>
  <si>
    <t xml:space="preserve">Barbell Calf Raise</t>
  </si>
  <si>
    <t xml:space="preserve">Barra apoiada nos trapézios como no agachamento; sobe na ponta dos pés controlando a carga</t>
  </si>
  <si>
    <t xml:space="preserve">Barra nos trapézios como no agachamento, suba na ponta dos pés controlando a carga</t>
  </si>
  <si>
    <t xml:space="preserve">Prancha</t>
  </si>
  <si>
    <t xml:space="preserve">Front Plank</t>
  </si>
  <si>
    <t xml:space="preserve">Sustentação isométrica do corpo reto, apoiado nos antebraços e pontas dos pés</t>
  </si>
  <si>
    <t xml:space="preserve">Mantenha ombros alinhados sobre os cotovelos, quadril nem caído nem elevado; respire de forma constante durante a sustentação</t>
  </si>
  <si>
    <t xml:space="preserve">Abdominal Supra</t>
  </si>
  <si>
    <t xml:space="preserve">Crunch</t>
  </si>
  <si>
    <t xml:space="preserve">Deitado de costas, curva o tronco em direção às coxas, levantando só a parte superior das costas do chão</t>
  </si>
  <si>
    <t xml:space="preserve">Mova devagar, evite usar os flexores do quadril para se impulsionar; mantenha pés, quadril e lombar no chão durante todo o movimento</t>
  </si>
  <si>
    <t xml:space="preserve">Elevação de Pernas</t>
  </si>
  <si>
    <t xml:space="preserve">Lying Leg Raise</t>
  </si>
  <si>
    <t xml:space="preserve">Deitado de costas, eleva as pernas estendidas até perto da vertical e desce controlando, sem tocar o chão</t>
  </si>
  <si>
    <t xml:space="preserve">Ative o assoalho pélvico e o abdômen profundo antes de levantar; mantenha o tronco estável, evitando arquear a lombar</t>
  </si>
  <si>
    <t xml:space="preserve">Escalador</t>
  </si>
  <si>
    <t xml:space="preserve">Mountain Climber</t>
  </si>
  <si>
    <t xml:space="preserve">Em posição de prancha alta, alterna os joelhos em direção ao peito rapidamente</t>
  </si>
  <si>
    <t xml:space="preserve">Mãos no chão em posição de prancha alta, alterne os joelhos em direção ao peito rapidamente, core contraído</t>
  </si>
  <si>
    <t xml:space="preserve">ACE lista o core como estabilizador (não alvo primário); opção de condicionamento</t>
  </si>
  <si>
    <t xml:space="preserve">Abdominal na Polia Alta</t>
  </si>
  <si>
    <t xml:space="preserve">Cable Crunch</t>
  </si>
  <si>
    <t xml:space="preserve">Flexão do tronco contra a resistência da polia alta, ajoelhado ou em pé abaixo do cabo</t>
  </si>
  <si>
    <t xml:space="preserve">Mova a partir da cintura, não do quadril: leve os cotovelos em direção ao meio das coxas sem flexionar o quadril; mantenha joelhos e quadril parados</t>
  </si>
  <si>
    <t xml:space="preserve">Abdominal na Máquina</t>
  </si>
  <si>
    <t xml:space="preserve">Ab Crunch Machine</t>
  </si>
  <si>
    <t xml:space="preserve">Sentado na máquina, flexiona o tronco puxando os cotovelos para baixo</t>
  </si>
  <si>
    <t xml:space="preserve">Sente-se, prenda os pés, apoie os ombros e puxe os cotovelos para baixo levando as costelas em direção ao umbigo</t>
  </si>
  <si>
    <t xml:space="preserve">Rolamento com Roda Abdominal</t>
  </si>
  <si>
    <t xml:space="preserve">Ab Wheel Rollout</t>
  </si>
  <si>
    <t xml:space="preserve">Ajoelhado, rola a roda para frente e volta controlando o tronco, sem deixar a lombar arquear</t>
  </si>
  <si>
    <t xml:space="preserve">Mantenha a coluna neutra, cabeça alinhada com a coluna, braços sempre estendidos; evite arquear a lombar</t>
  </si>
  <si>
    <t xml:space="preserve">Elevação de Pernas na Cadeira Capitão</t>
  </si>
  <si>
    <t xml:space="preserve">Captain's Chair Leg Raise</t>
  </si>
  <si>
    <t xml:space="preserve">Apoiado nos antebraços e costas, eleva as pernas estendidas até a altura do quadril</t>
  </si>
  <si>
    <t xml:space="preserve">Apoie antebraços nos apoios e costas no encosto, deixe as pernas penduradas, eleve-as estendidas até a altura do quadril</t>
  </si>
  <si>
    <t xml:space="preserve">Supino Reto com Halteres</t>
  </si>
  <si>
    <t xml:space="preserve">Dumbbell Bench Press</t>
  </si>
  <si>
    <t xml:space="preserve">Supino deitado em banco reto com halteres; permite maior amplitude que a barra</t>
  </si>
  <si>
    <t xml:space="preserve">Desça os halteres controlando até a lateral do peito e empurre até estender os braços</t>
  </si>
  <si>
    <t xml:space="preserve">Supino Inclinado com Barra</t>
  </si>
  <si>
    <t xml:space="preserve">Barbell Incline Bench Press</t>
  </si>
  <si>
    <t xml:space="preserve">Supino em banco inclinado com barra; enfatiza a parte superior do peitoral</t>
  </si>
  <si>
    <t xml:space="preserve">Retire a barra do suporte com os braços estendidos acima dos ombros; desça controlando até a parte superior do peito e empurre de volta</t>
  </si>
  <si>
    <t xml:space="preserve">Supino na Máquina</t>
  </si>
  <si>
    <t xml:space="preserve">Machine Chest Press</t>
  </si>
  <si>
    <t xml:space="preserve">Sentado, empurra as manoplas da máquina à frente do peito</t>
  </si>
  <si>
    <t xml:space="preserve">Ajuste o banco para as manoplas ficarem na altura do meio do peito; empurre até estender os braços e volte controlando</t>
  </si>
  <si>
    <t xml:space="preserve">Supino Inclinado na Máquina</t>
  </si>
  <si>
    <t xml:space="preserve">Incline Chest Press Machine</t>
  </si>
  <si>
    <t xml:space="preserve">Supino inclinado em máquina com trajetória guiada; enfatiza a parte superior do peitoral</t>
  </si>
  <si>
    <t xml:space="preserve">Não abra demais a pegada (reduz a amplitude); empurre as manoplas até estender os braços e volte controlando</t>
  </si>
  <si>
    <t xml:space="preserve">Crucifixo Reto com Halteres</t>
  </si>
  <si>
    <t xml:space="preserve">Dumbbell Chest Fly</t>
  </si>
  <si>
    <t xml:space="preserve">Deitado em banco reto, abre e fecha os braços com halteres em movimento de abraço</t>
  </si>
  <si>
    <t xml:space="preserve">Mantenha os cotovelos levemente flexionados e na mesma posição o tempo todo; o movimento acontece no ombro, não no cotovelo</t>
  </si>
  <si>
    <t xml:space="preserve">Crossover na Polia</t>
  </si>
  <si>
    <t xml:space="preserve">Cable Crossover</t>
  </si>
  <si>
    <t xml:space="preserve">Em pé entre as polias, cruza os cabos à frente do corpo em movimento de abraço</t>
  </si>
  <si>
    <t xml:space="preserve">Cotovelos levemente flexionados e fixos; o movimento acontece no ombro. A altura das polias muda a ênfase no peitoral</t>
  </si>
  <si>
    <t xml:space="preserve">Elevação Lateral com Halteres</t>
  </si>
  <si>
    <t xml:space="preserve">Dumbbell Lateral Raise</t>
  </si>
  <si>
    <t xml:space="preserve">Em pé, eleva os halteres lateralmente até a altura dos ombros, isolando o deltoide lateral</t>
  </si>
  <si>
    <t xml:space="preserve">Cotovelos levemente flexionados subindo junto com os braços, um pouco à frente dos halteres; pare quando os braços ficarem paralelos ao chão</t>
  </si>
  <si>
    <t xml:space="preserve">Desenvolvimento na Máquina</t>
  </si>
  <si>
    <t xml:space="preserve">Machine Shoulder Press</t>
  </si>
  <si>
    <t xml:space="preserve">Sentado, empurra as manoplas da máquina para cima, acima da cabeça</t>
  </si>
  <si>
    <t xml:space="preserve">Empurre as manoplas até estender os braços e desça controlando até a altura dos ombros</t>
  </si>
  <si>
    <t xml:space="preserve">Elevação Frontal na Polia</t>
  </si>
  <si>
    <t xml:space="preserve">Cable Front Raise</t>
  </si>
  <si>
    <t xml:space="preserve">De costas para a polia baixa, eleva o cabo à frente do corpo até a altura dos ombros</t>
  </si>
  <si>
    <t xml:space="preserve">Eleve a alça reto à frente até a altura dos ombros, sem dar embalo com o corpo</t>
  </si>
  <si>
    <t xml:space="preserve">Puxada Alta com Triângulo</t>
  </si>
  <si>
    <t xml:space="preserve">Close-Grip Lat Pulldown</t>
  </si>
  <si>
    <t xml:space="preserve">Puxada na polia alta usando o puxador triângulo (pegada neutra e fechada)</t>
  </si>
  <si>
    <t xml:space="preserve">Coxas presas sob o apoio e peito para cima; puxe até abaixo do queixo ou até tocar a parte superior do peito</t>
  </si>
  <si>
    <t xml:space="preserve">Remada Cavalinho</t>
  </si>
  <si>
    <t xml:space="preserve">T-Bar Row</t>
  </si>
  <si>
    <t xml:space="preserve">Com o tronco inclinado à frente, puxa a barra T em direção ao abdômen</t>
  </si>
  <si>
    <t xml:space="preserve">Incline o tronco mantendo a coluna neutra; puxe a barra o mais alto possível em direção ao corpo e desça controlando</t>
  </si>
  <si>
    <t xml:space="preserve">Rosca Martelo</t>
  </si>
  <si>
    <t xml:space="preserve">Dumbbell Hammer Curl</t>
  </si>
  <si>
    <t xml:space="preserve">Rosca com pegada neutra (palmas voltadas uma para a outra)</t>
  </si>
  <si>
    <t xml:space="preserve">Mantenha a pegada neutra e os cotovelos junto ao corpo; não deixe os braços irem para trás durante a subida</t>
  </si>
  <si>
    <t xml:space="preserve">Rosca por Trás do Corpo na Polia</t>
  </si>
  <si>
    <t xml:space="preserve">Behind-the-Back Cable Curl (Bayesian Curl)</t>
  </si>
  <si>
    <t xml:space="preserve">De costas para a polia baixa, com o braço estendido atrás do corpo, faz a rosca com um braço por vez</t>
  </si>
  <si>
    <t xml:space="preserve">Mantenha o braço parado atrás do corpo durante todo o movimento; flexione só o cotovelo</t>
  </si>
  <si>
    <t xml:space="preserve">Estudo de 10 semanas: ganhos semelhantes aos da rosca Scott - alternativa equivalente, não superior</t>
  </si>
  <si>
    <t xml:space="preserve">Tríceps Testa com Barra W</t>
  </si>
  <si>
    <t xml:space="preserve">EZ-Bar Skull Crusher</t>
  </si>
  <si>
    <t xml:space="preserve">Deitado no banco, flexiona os cotovelos levando a barra W em direção à testa e estende de volta</t>
  </si>
  <si>
    <t xml:space="preserve">Mantenha os braços apontados para cima e mova só os cotovelos; levar a barra um pouco atrás da cabeça aumenta a amplitude</t>
  </si>
  <si>
    <t xml:space="preserve">Agachamento no Smith</t>
  </si>
  <si>
    <t xml:space="preserve">Smith Machine Squat</t>
  </si>
  <si>
    <t xml:space="preserve">Agachamento com a barra guiada pela máquina Smith</t>
  </si>
  <si>
    <t xml:space="preserve">Posicione os pés logo abaixo da barra e agache o mais fundo que conseguir mantendo boa técnica</t>
  </si>
  <si>
    <t xml:space="preserve">Agachamento Hack</t>
  </si>
  <si>
    <t xml:space="preserve">Hack Squat</t>
  </si>
  <si>
    <t xml:space="preserve">Agachamento na máquina hack, com as costas apoiadas e os ombros sob as almofadas</t>
  </si>
  <si>
    <t xml:space="preserve">Ajuste a altura para os ombros encaixarem nas almofadas; desça controlando com os joelhos alinhados aos pés</t>
  </si>
  <si>
    <t xml:space="preserve">Mesa Flexora</t>
  </si>
  <si>
    <t xml:space="preserve">Lying Leg Curl</t>
  </si>
  <si>
    <t xml:space="preserve">Deitado de bruços na máquina, flexiona os joelhos puxando o rolo em direção aos glúteos</t>
  </si>
  <si>
    <t xml:space="preserve">Alinhe os joelhos com o eixo da máquina; flexione o máximo possível e desça devagar, sem tirar o quadril do apoio</t>
  </si>
  <si>
    <t xml:space="preserve">Elevação de Panturrilha Sentado</t>
  </si>
  <si>
    <t xml:space="preserve">Seated Calf Raise</t>
  </si>
  <si>
    <t xml:space="preserve">Sentado com os joelhos flexionados sob o apoio, sobe e desce os calcanhares; enfatiza o sóleo</t>
  </si>
  <si>
    <t xml:space="preserve">Ajuste o apoio sobre os joelhos; desça os calcanhares controlando até alongar e suba o máximo possível</t>
  </si>
  <si>
    <t xml:space="preserve">Cadeira Adutora</t>
  </si>
  <si>
    <t xml:space="preserve">Hip Adduction Machine</t>
  </si>
  <si>
    <t xml:space="preserve">Sentado, fecha as pernas contra a resistência das almofadas</t>
  </si>
  <si>
    <t xml:space="preserve">Comece com as pernas abertas até sentir um leve alongamento e feche as pernas de forma controlada</t>
  </si>
  <si>
    <t xml:space="preserve">Cadeira Abdutora</t>
  </si>
  <si>
    <t xml:space="preserve">Hip Abduction Machine</t>
  </si>
  <si>
    <t xml:space="preserve">Sentado, abre as pernas contra a resistência das almofadas; trabalha o glúteo médio e mínimo</t>
  </si>
  <si>
    <t xml:space="preserve">Abra as pernas o máximo possível e volte controlando, sem deixar o peso bater</t>
  </si>
  <si>
    <t xml:space="preserve">Abdução de Quadril Deitado de Lado</t>
  </si>
  <si>
    <t xml:space="preserve">Side-Lying Hip Abduction</t>
  </si>
  <si>
    <t xml:space="preserve">Deitado de lado, eleva a perna de cima estendida; trabalha o glúteo médio</t>
  </si>
  <si>
    <t xml:space="preserve">Perna de baixo dobrada e a de cima reta; mantenha o quadril de cima alinhado sobre o de baixo durante todo o movimento</t>
  </si>
  <si>
    <t xml:space="preserve">EMG: maior ativação do glúteo médio entre 12 exercícios (Distefano 2009)</t>
  </si>
  <si>
    <t xml:space="preserve">Adução de Quadril Deitado de Lado</t>
  </si>
  <si>
    <t xml:space="preserve">Side-Lying Hip Adduction</t>
  </si>
  <si>
    <t xml:space="preserve">Deitado de lado, eleva a perna de baixo estendida em direção ao teto</t>
  </si>
  <si>
    <t xml:space="preserve">Perna de baixo reta e joelho da perna de cima dobrado por cima dela; eleve a perna de baixo e desça devagar</t>
  </si>
  <si>
    <t xml:space="preserve">EMG: maior ativação do adutor longo entre 6 exercícios (Delmore 2014)</t>
  </si>
  <si>
    <t xml:space="preserve">Afundo Lateral</t>
  </si>
  <si>
    <t xml:space="preserve">Lateral Lunge</t>
  </si>
  <si>
    <t xml:space="preserve">Passo largo para o lado, flexionando o joelho da perna que avança e mantendo a outra estendida</t>
  </si>
  <si>
    <t xml:space="preserve">Dê um passo grande para o lado e desça o máximo que conseguir sem tirar o calcanhar do chão, com controle</t>
  </si>
  <si>
    <t xml:space="preserve">exercicio_id</t>
  </si>
  <si>
    <t xml:space="preserve">alternativo_id</t>
  </si>
  <si>
    <t xml:space="preserve">ordem</t>
  </si>
  <si>
    <t xml:space="preserve">_aux_exercicio</t>
  </si>
  <si>
    <t xml:space="preserve">_aux_alternativo</t>
  </si>
  <si>
    <t xml:space="preserve">_calc_alternativa_sem_equipamento</t>
  </si>
  <si>
    <t xml:space="preserve">Aproximação: a elevação em T trabalha mais a porção posterior do deltoide</t>
  </si>
  <si>
    <t xml:space="preserve">Aproximação: sem objeto não há puxada vertical equivalente; trabalha escápulas/costas altas</t>
  </si>
  <si>
    <t xml:space="preserve">Aproximação: sem objeto não há remada equivalente; trabalha retração escapular</t>
  </si>
  <si>
    <t xml:space="preserve">Aproximação: sem objeto não há remada equivalente</t>
  </si>
  <si>
    <t xml:space="preserve">Aproximação: sem objeto não há puxada vertical equivalente</t>
  </si>
  <si>
    <t xml:space="preserve">Ressalva: eficácia reduzida vs. exercício com carga</t>
  </si>
  <si>
    <t xml:space="preserve">Aproximação: foco maior no glúteo máximo</t>
  </si>
  <si>
    <t xml:space="preserve">grupo_muscular_id</t>
  </si>
  <si>
    <t xml:space="preserve">papel</t>
  </si>
  <si>
    <t xml:space="preserve">_aux_grupo</t>
  </si>
  <si>
    <t xml:space="preserve">PRIMARIO</t>
  </si>
  <si>
    <t xml:space="preserve">SECUNDARIO</t>
  </si>
  <si>
    <t xml:space="preserve">equipamento_id</t>
  </si>
  <si>
    <t xml:space="preserve">_aux_equipamento</t>
  </si>
  <si>
    <t xml:space="preserve">dica_extra</t>
  </si>
  <si>
    <t xml:space="preserve">Deite no banco com os pés apoiados no chão e retire a barra do suporte</t>
  </si>
  <si>
    <t xml:space="preserve">Mantenha as escápulas retraídas contra o banco</t>
  </si>
  <si>
    <t xml:space="preserve">Ajuste o banco para uma inclinação de 30°. Sente-se no banco e apoie cada halter em cima dos joelhos</t>
  </si>
  <si>
    <t xml:space="preserve">Para deitar com segurança, use as coxas para impulsionar os halteres para cima, um de cada vez, enquanto deita as costas no banco</t>
  </si>
  <si>
    <t xml:space="preserve">Mantenha os pés firmes no chão para dar estabilidade e feche as escápulas</t>
  </si>
  <si>
    <t xml:space="preserve">Desça os halteres de forma controlada até o lado do seu peitoral superior</t>
  </si>
  <si>
    <t xml:space="preserve">Empurre os halteres para cima com força, concentrando o esforço no peitoral</t>
  </si>
  <si>
    <t xml:space="preserve">Evite esticar o cotovelo completamente no topo para não tirar o estímulo do peito</t>
  </si>
  <si>
    <t xml:space="preserve">Regule a altura do assento para que as manoplas fiquem exatamente na linha do meio do seu peitoral</t>
  </si>
  <si>
    <t xml:space="preserve">Posicione os braços da máquina em uma abertura que permita alongar o peitoral</t>
  </si>
  <si>
    <t xml:space="preserve">Pressione as manoplas para a frente até que se aproximem na frente do peito</t>
  </si>
  <si>
    <t xml:space="preserve">Retorne os braços de forma lenta e controlada até sentir o peitoral alongar bem</t>
  </si>
  <si>
    <t xml:space="preserve">Puxe a barra em direção à parte superior do peito</t>
  </si>
  <si>
    <t xml:space="preserve">Faça uma breve pausa de 1 segundo mantendo a musculatura das costas contraída</t>
  </si>
  <si>
    <t xml:space="preserve">Suba a barra de forma controlada</t>
  </si>
  <si>
    <t xml:space="preserve">apelido</t>
  </si>
  <si>
    <t xml:space="preserve">Bench Press</t>
  </si>
  <si>
    <t xml:space="preserve">Supino Reto</t>
  </si>
  <si>
    <t xml:space="preserve">Supino com Barra</t>
  </si>
  <si>
    <t xml:space="preserve">Supino 45 com Halteres</t>
  </si>
  <si>
    <t xml:space="preserve">Supino Inclinado com Halter</t>
  </si>
  <si>
    <t xml:space="preserve">Peck Deck</t>
  </si>
  <si>
    <t xml:space="preserve">Crucifixo na Máquina</t>
  </si>
  <si>
    <t xml:space="preserve">Pec Deck</t>
  </si>
  <si>
    <t xml:space="preserve">Apoio</t>
  </si>
  <si>
    <t xml:space="preserve">Flexão Larga</t>
  </si>
  <si>
    <t xml:space="preserve">Flexão Declinada</t>
  </si>
  <si>
    <t xml:space="preserve">Dips</t>
  </si>
  <si>
    <t xml:space="preserve">Paralelas</t>
  </si>
  <si>
    <t xml:space="preserve">Tríceps na Paralela</t>
  </si>
  <si>
    <t xml:space="preserve">Close-Grip Push-up</t>
  </si>
  <si>
    <t xml:space="preserve">Flexão Pike</t>
  </si>
  <si>
    <t xml:space="preserve">Desenvolvimento</t>
  </si>
  <si>
    <t xml:space="preserve">Desenvolvimento de Ombros Sentado</t>
  </si>
  <si>
    <t xml:space="preserve">Crucifixo Invertido</t>
  </si>
  <si>
    <t xml:space="preserve">Rear Delt Reverse Fly</t>
  </si>
  <si>
    <t xml:space="preserve">T Raise</t>
  </si>
  <si>
    <t xml:space="preserve">Pull-down</t>
  </si>
  <si>
    <t xml:space="preserve">Puxada na Frente</t>
  </si>
  <si>
    <t xml:space="preserve">Puxada Frontal</t>
  </si>
  <si>
    <t xml:space="preserve">Seated Row</t>
  </si>
  <si>
    <t xml:space="preserve">Remada Iso-Lateral</t>
  </si>
  <si>
    <t xml:space="preserve">Iso-Lateral Row</t>
  </si>
  <si>
    <t xml:space="preserve">Remada Baixa Iso-Lateral</t>
  </si>
  <si>
    <t xml:space="preserve">Remada Articulada</t>
  </si>
  <si>
    <t xml:space="preserve">Remada Australiana</t>
  </si>
  <si>
    <t xml:space="preserve">Shrug</t>
  </si>
  <si>
    <t xml:space="preserve">Encolhimento de Ombros</t>
  </si>
  <si>
    <t xml:space="preserve">Shrug com Halteres</t>
  </si>
  <si>
    <t xml:space="preserve">Y Raise</t>
  </si>
  <si>
    <t xml:space="preserve">Hiperextensão</t>
  </si>
  <si>
    <t xml:space="preserve">Extensão de Tronco no Banco Romano</t>
  </si>
  <si>
    <t xml:space="preserve">Rosca Unilateral no Cabo</t>
  </si>
  <si>
    <t xml:space="preserve">Cable Curl</t>
  </si>
  <si>
    <t xml:space="preserve">Rosca Scott</t>
  </si>
  <si>
    <t xml:space="preserve">Rosca no Banco 45</t>
  </si>
  <si>
    <t xml:space="preserve">Bíceps Banco 45</t>
  </si>
  <si>
    <t xml:space="preserve">Seated Incline Curl</t>
  </si>
  <si>
    <t xml:space="preserve">Preacher Curl</t>
  </si>
  <si>
    <t xml:space="preserve">Tríceps na Polia</t>
  </si>
  <si>
    <t xml:space="preserve">Tríceps Corda</t>
  </si>
  <si>
    <t xml:space="preserve">Tríceps na Polia com Corda</t>
  </si>
  <si>
    <t xml:space="preserve">Tríceps da Polia</t>
  </si>
  <si>
    <t xml:space="preserve">Tríceps Francês</t>
  </si>
  <si>
    <t xml:space="preserve">Overhead Triceps Extension</t>
  </si>
  <si>
    <t xml:space="preserve">Extensão de Tríceps Acima da Cabeça</t>
  </si>
  <si>
    <t xml:space="preserve">Wrist Curl</t>
  </si>
  <si>
    <t xml:space="preserve">Leg Press 45</t>
  </si>
  <si>
    <t xml:space="preserve">Leg Press Unilateral</t>
  </si>
  <si>
    <t xml:space="preserve">Back Squat</t>
  </si>
  <si>
    <t xml:space="preserve">Agachamento Livre</t>
  </si>
  <si>
    <t xml:space="preserve">Air Squat</t>
  </si>
  <si>
    <t xml:space="preserve">Lunge</t>
  </si>
  <si>
    <t xml:space="preserve">Avanço</t>
  </si>
  <si>
    <t xml:space="preserve">Leg Curl</t>
  </si>
  <si>
    <t xml:space="preserve">Levantamento Terra Unilateral</t>
  </si>
  <si>
    <t xml:space="preserve">Levantamento Terra no Smith</t>
  </si>
  <si>
    <t xml:space="preserve">Ponte de Glúteo</t>
  </si>
  <si>
    <t xml:space="preserve">Hip Thrust</t>
  </si>
  <si>
    <t xml:space="preserve">Panturrilha em Pé</t>
  </si>
  <si>
    <t xml:space="preserve">Plank</t>
  </si>
  <si>
    <t xml:space="preserve">Prancha Frontal</t>
  </si>
  <si>
    <t xml:space="preserve">Abdominal</t>
  </si>
  <si>
    <t xml:space="preserve">Leg Raise</t>
  </si>
  <si>
    <t xml:space="preserve">Crunch na Máquina</t>
  </si>
  <si>
    <t xml:space="preserve">Ab Wheel</t>
  </si>
  <si>
    <t xml:space="preserve">Roda Abdominal</t>
  </si>
  <si>
    <t xml:space="preserve">Supino com Halteres</t>
  </si>
  <si>
    <t xml:space="preserve">Incline Bench Press</t>
  </si>
  <si>
    <t xml:space="preserve">Supino Inclinado</t>
  </si>
  <si>
    <t xml:space="preserve">Supino Sentado na Máquina</t>
  </si>
  <si>
    <t xml:space="preserve">Chest Press</t>
  </si>
  <si>
    <t xml:space="preserve">Supino Reto na Máquina</t>
  </si>
  <si>
    <t xml:space="preserve">Crucifixo</t>
  </si>
  <si>
    <t xml:space="preserve">Dumbbell Fly</t>
  </si>
  <si>
    <t xml:space="preserve">Cross Over</t>
  </si>
  <si>
    <t xml:space="preserve">Cable Fly</t>
  </si>
  <si>
    <t xml:space="preserve">Crossover Declinado</t>
  </si>
  <si>
    <t xml:space="preserve">Crucifixo na Polia</t>
  </si>
  <si>
    <t xml:space="preserve">Elevação Lateral</t>
  </si>
  <si>
    <t xml:space="preserve">Lateral Raise</t>
  </si>
  <si>
    <t xml:space="preserve">Shoulder Press na Máquina</t>
  </si>
  <si>
    <t xml:space="preserve">Desenvolvimento de Ombros na Máquina</t>
  </si>
  <si>
    <t xml:space="preserve">Front Raise</t>
  </si>
  <si>
    <t xml:space="preserve">Elevação Frontal</t>
  </si>
  <si>
    <t xml:space="preserve">Puxada Triângulo</t>
  </si>
  <si>
    <t xml:space="preserve">Puxada Fechada</t>
  </si>
  <si>
    <t xml:space="preserve">Remada T</t>
  </si>
  <si>
    <t xml:space="preserve">Hammer Curl</t>
  </si>
  <si>
    <t xml:space="preserve">Bayesian Curl</t>
  </si>
  <si>
    <t xml:space="preserve">Rosca Bayesiana</t>
  </si>
  <si>
    <t xml:space="preserve">Behind the Back Curl</t>
  </si>
  <si>
    <t xml:space="preserve">Skull Crusher</t>
  </si>
  <si>
    <t xml:space="preserve">Tríceps Testa</t>
  </si>
  <si>
    <t xml:space="preserve">Smith Squat</t>
  </si>
  <si>
    <t xml:space="preserve">Agachamento Smith</t>
  </si>
  <si>
    <t xml:space="preserve">Hack</t>
  </si>
  <si>
    <t xml:space="preserve">Flexora Deitada</t>
  </si>
  <si>
    <t xml:space="preserve">Panturrilha Sentada</t>
  </si>
  <si>
    <t xml:space="preserve">Cadeira de Panturrilha</t>
  </si>
  <si>
    <t xml:space="preserve">Adutora</t>
  </si>
  <si>
    <t xml:space="preserve">Abdutora</t>
  </si>
  <si>
    <t xml:space="preserve">Abdução Deitado</t>
  </si>
  <si>
    <t xml:space="preserve">Adução Deitado</t>
  </si>
  <si>
    <t xml:space="preserve">Side Lunge</t>
  </si>
  <si>
    <t xml:space="preserve">fonte_id</t>
  </si>
  <si>
    <t xml:space="preserve">_aux_fonte</t>
  </si>
  <si>
    <t xml:space="preserve">codigo</t>
  </si>
  <si>
    <t xml:space="preserve">regiao</t>
  </si>
  <si>
    <t xml:space="preserve">PEITORAL</t>
  </si>
  <si>
    <t xml:space="preserve">Peitoral</t>
  </si>
  <si>
    <t xml:space="preserve">Superior</t>
  </si>
  <si>
    <t xml:space="preserve">Músculos do peito</t>
  </si>
  <si>
    <t xml:space="preserve">DELTOIDES</t>
  </si>
  <si>
    <t xml:space="preserve">Deltoides</t>
  </si>
  <si>
    <t xml:space="preserve">Ombros</t>
  </si>
  <si>
    <t xml:space="preserve">TRICEPS</t>
  </si>
  <si>
    <t xml:space="preserve">Tríceps</t>
  </si>
  <si>
    <t xml:space="preserve">Parte de trás do braço</t>
  </si>
  <si>
    <t xml:space="preserve">BICEPS</t>
  </si>
  <si>
    <t xml:space="preserve">Bíceps</t>
  </si>
  <si>
    <t xml:space="preserve">Parte da frente do braço</t>
  </si>
  <si>
    <t xml:space="preserve">ANTEBRACO</t>
  </si>
  <si>
    <t xml:space="preserve">Antebraço</t>
  </si>
  <si>
    <t xml:space="preserve">Antebraço e preensão</t>
  </si>
  <si>
    <t xml:space="preserve">DORSAL</t>
  </si>
  <si>
    <t xml:space="preserve">Dorsal</t>
  </si>
  <si>
    <t xml:space="preserve">Costas, região lateral (latíssimo do dorso)</t>
  </si>
  <si>
    <t xml:space="preserve">TRAPEZIO</t>
  </si>
  <si>
    <t xml:space="preserve">Trapézio</t>
  </si>
  <si>
    <t xml:space="preserve">Costas, região superior</t>
  </si>
  <si>
    <t xml:space="preserve">LOMBAR</t>
  </si>
  <si>
    <t xml:space="preserve">Lombar</t>
  </si>
  <si>
    <t xml:space="preserve">Core</t>
  </si>
  <si>
    <t xml:space="preserve">Região inferior das costas</t>
  </si>
  <si>
    <t xml:space="preserve">ABDOMEN</t>
  </si>
  <si>
    <t xml:space="preserve">Abdômen</t>
  </si>
  <si>
    <t xml:space="preserve">Core / abdominais</t>
  </si>
  <si>
    <t xml:space="preserve">QUADRICEPS</t>
  </si>
  <si>
    <t xml:space="preserve">Quadríceps</t>
  </si>
  <si>
    <t xml:space="preserve">Inferior</t>
  </si>
  <si>
    <t xml:space="preserve">Frente da coxa</t>
  </si>
  <si>
    <t xml:space="preserve">POSTERIOR_COXA</t>
  </si>
  <si>
    <t xml:space="preserve">Posterior de coxa</t>
  </si>
  <si>
    <t xml:space="preserve">Isquiotibiais</t>
  </si>
  <si>
    <t xml:space="preserve">GLUTEOS</t>
  </si>
  <si>
    <t xml:space="preserve">Glúteos</t>
  </si>
  <si>
    <t xml:space="preserve">Região do quadril/glúteo</t>
  </si>
  <si>
    <t xml:space="preserve">PANTURRILHA</t>
  </si>
  <si>
    <t xml:space="preserve">Panturrilha</t>
  </si>
  <si>
    <t xml:space="preserve">Parte de trás da perna, abaixo do joelho</t>
  </si>
  <si>
    <t xml:space="preserve">ADUTORES</t>
  </si>
  <si>
    <t xml:space="preserve">Adutores</t>
  </si>
  <si>
    <t xml:space="preserve">Parte interna da coxa</t>
  </si>
  <si>
    <t xml:space="preserve">categoria</t>
  </si>
  <si>
    <t xml:space="preserve">Barra reta</t>
  </si>
  <si>
    <t xml:space="preserve">Peso livre</t>
  </si>
  <si>
    <t xml:space="preserve">Barra olímpica/reta para supino, agachamento, terra etc.</t>
  </si>
  <si>
    <t xml:space="preserve">Halteres</t>
  </si>
  <si>
    <t xml:space="preserve">Banco reto</t>
  </si>
  <si>
    <t xml:space="preserve">Acessório</t>
  </si>
  <si>
    <t xml:space="preserve">Banco plano; também serve de apoio (ex.: agachamento búlgaro)</t>
  </si>
  <si>
    <t xml:space="preserve">Banco ajustável</t>
  </si>
  <si>
    <t xml:space="preserve">Banco com encosto regulável (inclinado/vertical)</t>
  </si>
  <si>
    <t xml:space="preserve">Banco Scott</t>
  </si>
  <si>
    <t xml:space="preserve">Apoio para o braço na rosca Scott</t>
  </si>
  <si>
    <t xml:space="preserve">Roda abdominal</t>
  </si>
  <si>
    <t xml:space="preserve">Barra fixa</t>
  </si>
  <si>
    <t xml:space="preserve">Estrutura fixa</t>
  </si>
  <si>
    <t xml:space="preserve">Barra para pendurar-se; também usada em barra baixa/Smith na remada invertida</t>
  </si>
  <si>
    <t xml:space="preserve">Barras paralelas</t>
  </si>
  <si>
    <t xml:space="preserve">Cadeira capitão</t>
  </si>
  <si>
    <t xml:space="preserve">Apoio de antebraços e costas para elevação de pernas</t>
  </si>
  <si>
    <t xml:space="preserve">Banco romano</t>
  </si>
  <si>
    <t xml:space="preserve">Banco de hiperextensão lombar</t>
  </si>
  <si>
    <t xml:space="preserve">Polia (cabo)</t>
  </si>
  <si>
    <t xml:space="preserve">Máquina</t>
  </si>
  <si>
    <t xml:space="preserve">Polia alta/baixa/cross-over; inclui acessórios (corda, barra, triângulo)</t>
  </si>
  <si>
    <t xml:space="preserve">Peck deck</t>
  </si>
  <si>
    <t xml:space="preserve">Máquina do voador peitoral</t>
  </si>
  <si>
    <t xml:space="preserve">Máquina de remada</t>
  </si>
  <si>
    <t xml:space="preserve">Máquina de rosca Scott</t>
  </si>
  <si>
    <t xml:space="preserve">Máquina de elevação lateral</t>
  </si>
  <si>
    <t xml:space="preserve">Cadeira extensora</t>
  </si>
  <si>
    <t xml:space="preserve">Cadeira flexora</t>
  </si>
  <si>
    <t xml:space="preserve">Leg press</t>
  </si>
  <si>
    <t xml:space="preserve">Máquina de panturrilha em pé</t>
  </si>
  <si>
    <t xml:space="preserve">Elevação de panturrilha em pé com apoio nos ombros</t>
  </si>
  <si>
    <t xml:space="preserve">Máquina de abdominal</t>
  </si>
  <si>
    <t xml:space="preserve">Barra W</t>
  </si>
  <si>
    <t xml:space="preserve">Barra com pegada angulada (EZ)</t>
  </si>
  <si>
    <t xml:space="preserve">Máquina Smith</t>
  </si>
  <si>
    <t xml:space="preserve">Barra guiada em trilhos</t>
  </si>
  <si>
    <t xml:space="preserve">Máquina de supino</t>
  </si>
  <si>
    <t xml:space="preserve">Supino sentado (chest press)</t>
  </si>
  <si>
    <t xml:space="preserve">Máquina de supino inclinado</t>
  </si>
  <si>
    <t xml:space="preserve">Máquina de desenvolvimento</t>
  </si>
  <si>
    <t xml:space="preserve">Desenvolvimento de ombros (shoulder press)</t>
  </si>
  <si>
    <t xml:space="preserve">Máquina de remada cavalinho</t>
  </si>
  <si>
    <t xml:space="preserve">Barra T / remada cavalinho com apoio</t>
  </si>
  <si>
    <t xml:space="preserve">Mesa flexora</t>
  </si>
  <si>
    <t xml:space="preserve">Flexão de joelhos deitado</t>
  </si>
  <si>
    <t xml:space="preserve">Máquina de panturrilha sentado</t>
  </si>
  <si>
    <t xml:space="preserve">Panturrilha sentado com apoio nos joelhos</t>
  </si>
  <si>
    <t xml:space="preserve">Máquina de agachamento hack</t>
  </si>
  <si>
    <t xml:space="preserve">Cadeira adutora</t>
  </si>
  <si>
    <t xml:space="preserve">Cadeira abdutora</t>
  </si>
  <si>
    <t xml:space="preserve">EMPURRAR_HORIZONTAL</t>
  </si>
  <si>
    <t xml:space="preserve">Empurrar horizontal</t>
  </si>
  <si>
    <t xml:space="preserve">EMPURRAR_VERTICAL</t>
  </si>
  <si>
    <t xml:space="preserve">Empurrar vertical</t>
  </si>
  <si>
    <t xml:space="preserve">ABDUCAO_ADUCAO_OMBRO</t>
  </si>
  <si>
    <t xml:space="preserve">Abdução/adução de ombro</t>
  </si>
  <si>
    <t xml:space="preserve">PUXAR_VERTICAL</t>
  </si>
  <si>
    <t xml:space="preserve">Puxar vertical</t>
  </si>
  <si>
    <t xml:space="preserve">PUXAR_HORIZONTAL</t>
  </si>
  <si>
    <t xml:space="preserve">Puxar horizontal</t>
  </si>
  <si>
    <t xml:space="preserve">ELEVACAO_ESCAPULAR</t>
  </si>
  <si>
    <t xml:space="preserve">Elevação escapular</t>
  </si>
  <si>
    <t xml:space="preserve">FLEXAO_COTOVELO</t>
  </si>
  <si>
    <t xml:space="preserve">Flexão de cotovelo</t>
  </si>
  <si>
    <t xml:space="preserve">EXTENSAO_COTOVELO</t>
  </si>
  <si>
    <t xml:space="preserve">Extensão de cotovelo</t>
  </si>
  <si>
    <t xml:space="preserve">PREENSAO_PUNHO</t>
  </si>
  <si>
    <t xml:space="preserve">Preensão e punho</t>
  </si>
  <si>
    <t xml:space="preserve">AGACHAR</t>
  </si>
  <si>
    <t xml:space="preserve">Agachar / avançar</t>
  </si>
  <si>
    <t xml:space="preserve">EXTENSAO_JOELHO</t>
  </si>
  <si>
    <t xml:space="preserve">Extensão de joelho</t>
  </si>
  <si>
    <t xml:space="preserve">FLEXAO_JOELHO</t>
  </si>
  <si>
    <t xml:space="preserve">Flexão de joelho</t>
  </si>
  <si>
    <t xml:space="preserve">DOBRADICA_QUADRIL</t>
  </si>
  <si>
    <t xml:space="preserve">Dobradiça de quadril</t>
  </si>
  <si>
    <t xml:space="preserve">ELEVACAO_PELVICA</t>
  </si>
  <si>
    <t xml:space="preserve">Elevação pélvica</t>
  </si>
  <si>
    <t xml:space="preserve">FLEXAO_PLANTAR</t>
  </si>
  <si>
    <t xml:space="preserve">Flexão plantar (panturrilha)</t>
  </si>
  <si>
    <t xml:space="preserve">FLEXAO_TRONCO</t>
  </si>
  <si>
    <t xml:space="preserve">Flexão de tronco/pernas</t>
  </si>
  <si>
    <t xml:space="preserve">ESTABILIZACAO_CORE</t>
  </si>
  <si>
    <t xml:space="preserve">Estabilização de core</t>
  </si>
  <si>
    <t xml:space="preserve">EXTENSAO_TRONCO</t>
  </si>
  <si>
    <t xml:space="preserve">Extensão de tronco</t>
  </si>
  <si>
    <t xml:space="preserve">FLEXAO_OMBRO</t>
  </si>
  <si>
    <t xml:space="preserve">Flexão de ombro (elevação frontal)</t>
  </si>
  <si>
    <t xml:space="preserve">ABDUCAO_ADUCAO_QUADRIL</t>
  </si>
  <si>
    <t xml:space="preserve">Abdução/adução de quadril</t>
  </si>
  <si>
    <t xml:space="preserve">Iniciante</t>
  </si>
  <si>
    <t xml:space="preserve">Movimento simples, baixo risco de lesão, ideal para quem nunca treinou</t>
  </si>
  <si>
    <t xml:space="preserve">Intermediário</t>
  </si>
  <si>
    <t xml:space="preserve">Exige coordenação, controle do peso corporal ou técnica moderada</t>
  </si>
  <si>
    <t xml:space="preserve">Avançado</t>
  </si>
  <si>
    <t xml:space="preserve">Exige força, equilíbrio ou mobilidade significativos; maior risco se mal executado</t>
  </si>
  <si>
    <t xml:space="preserve">autor_organizacao</t>
  </si>
  <si>
    <t xml:space="preserve">titulo</t>
  </si>
  <si>
    <t xml:space="preserve">url</t>
  </si>
  <si>
    <t xml:space="preserve">tipo</t>
  </si>
  <si>
    <t xml:space="preserve">JOI Rehab &amp; Sports Medicine</t>
  </si>
  <si>
    <t xml:space="preserve">Proper Bench Press Technique</t>
  </si>
  <si>
    <t xml:space="preserve">https://www.joionline.net/?p=31037</t>
  </si>
  <si>
    <t xml:space="preserve">Artigo técnico</t>
  </si>
  <si>
    <t xml:space="preserve">NASM</t>
  </si>
  <si>
    <t xml:space="preserve">Two-Arm Incline Dumbbell Chest Press</t>
  </si>
  <si>
    <t xml:space="preserve">https://www.nasm.org/resource-center/exercise-library/two-arm-incline-dumbbell-chest-press</t>
  </si>
  <si>
    <t xml:space="preserve">Biblioteca de exercícios</t>
  </si>
  <si>
    <t xml:space="preserve">Healthline</t>
  </si>
  <si>
    <t xml:space="preserve">Wide Push-Ups</t>
  </si>
  <si>
    <t xml:space="preserve">https://www.healthline.com/health/exercise-fitness/wide-pushups</t>
  </si>
  <si>
    <t xml:space="preserve">Artigo técnico (revisão médica)</t>
  </si>
  <si>
    <t xml:space="preserve">StrengthLog</t>
  </si>
  <si>
    <t xml:space="preserve">https://www.strengthlog.com/cable-lateral-raise/</t>
  </si>
  <si>
    <t xml:space="preserve">Physitrack</t>
  </si>
  <si>
    <t xml:space="preserve">Step-by-step guide to T raises</t>
  </si>
  <si>
    <t xml:space="preserve">https://www.physitrack.com/da/exercise-library/how-to-perform-the-t-raises</t>
  </si>
  <si>
    <t xml:space="preserve">Biblioteca clínica (fisioterapia)</t>
  </si>
  <si>
    <t xml:space="preserve">GymKee</t>
  </si>
  <si>
    <t xml:space="preserve">Lateral Raise Machine</t>
  </si>
  <si>
    <t xml:space="preserve">https://gymkee.com/exercises/shoulders/lateral-raise-machine/</t>
  </si>
  <si>
    <t xml:space="preserve">Fitbod</t>
  </si>
  <si>
    <t xml:space="preserve">https://fitbod.me/exercises/dumbbell-shoulder-press</t>
  </si>
  <si>
    <t xml:space="preserve">Biblioteca de exercícios (app)</t>
  </si>
  <si>
    <t xml:space="preserve">Pike Push-Up</t>
  </si>
  <si>
    <t xml:space="preserve">https://www.nasm.org/resource-center/exercise-library/pike-push-up</t>
  </si>
  <si>
    <t xml:space="preserve">ACE Fitness</t>
  </si>
  <si>
    <t xml:space="preserve">Reverse Fly</t>
  </si>
  <si>
    <t xml:space="preserve">https://www.acefitness.org/resources/everyone/exercise-library/353/reverse-fly/</t>
  </si>
  <si>
    <t xml:space="preserve">Biblioteca de exercícios (American Council on Exercise)</t>
  </si>
  <si>
    <t xml:space="preserve">GoFitify</t>
  </si>
  <si>
    <t xml:space="preserve">Reverse Snow Angels</t>
  </si>
  <si>
    <t xml:space="preserve">https://gofitify.com/exercises/bodyweight/reverse-snow-angels</t>
  </si>
  <si>
    <t xml:space="preserve">How to Do Machine Lat Pulldown</t>
  </si>
  <si>
    <t xml:space="preserve">https://www.strengthlog.com/machine-lat-pulldown/</t>
  </si>
  <si>
    <t xml:space="preserve">How to Do the Seated Row</t>
  </si>
  <si>
    <t xml:space="preserve">https://www.healthline.com/health/seated-row</t>
  </si>
  <si>
    <t xml:space="preserve">Australian Pull-Up (Inverted Row)</t>
  </si>
  <si>
    <t xml:space="preserve">https://www.healthline.com/health/fitness/australian-pull-up</t>
  </si>
  <si>
    <t xml:space="preserve">Wikipedia</t>
  </si>
  <si>
    <t xml:space="preserve">Pull-down (exercise)</t>
  </si>
  <si>
    <t xml:space="preserve">https://en.wikipedia.org/wiki/Pull-down_(exercise)</t>
  </si>
  <si>
    <t xml:space="preserve">Enciclopédia (referenciada)</t>
  </si>
  <si>
    <t xml:space="preserve">FitnessVolt</t>
  </si>
  <si>
    <t xml:space="preserve">https://fitnessvolt.com/machine-one-arm-row-back/</t>
  </si>
  <si>
    <t xml:space="preserve">WebMD</t>
  </si>
  <si>
    <t xml:space="preserve">How to Do Shoulder Shrugs</t>
  </si>
  <si>
    <t xml:space="preserve">https://www.webmd.com/fitness-exercise/how-to-do-shoulder-shrugs</t>
  </si>
  <si>
    <t xml:space="preserve">Artigo médico/saúde</t>
  </si>
  <si>
    <t xml:space="preserve">Sportskeeda</t>
  </si>
  <si>
    <t xml:space="preserve">5 No-Weight Trapezius Exercises</t>
  </si>
  <si>
    <t xml:space="preserve">https://sportskeeda.com/health-and-fitness/5-no-weight-trapezius-exercises-stabilize-your-shoulders</t>
  </si>
  <si>
    <t xml:space="preserve">Hyperextension (exercise)</t>
  </si>
  <si>
    <t xml:space="preserve">https://en.wikipedia.org/wiki/Hyperextension_(exercise)</t>
  </si>
  <si>
    <t xml:space="preserve">Good Mornings</t>
  </si>
  <si>
    <t xml:space="preserve">https://www.nasm.org/resource-center/exercise-library/good-mornings</t>
  </si>
  <si>
    <t xml:space="preserve">Good-morning (exercise)</t>
  </si>
  <si>
    <t xml:space="preserve">https://en.wikipedia.org/wiki/Good-morning_(exercise)</t>
  </si>
  <si>
    <t xml:space="preserve">Superman Exercise</t>
  </si>
  <si>
    <t xml:space="preserve">https://www.healthline.com/health/fitness/superman-exercise</t>
  </si>
  <si>
    <t xml:space="preserve">Exercise.com</t>
  </si>
  <si>
    <t xml:space="preserve">Close-Grip Push-Up</t>
  </si>
  <si>
    <t xml:space="preserve">https://www.exercise.com/exercises/close-grip-push-up/</t>
  </si>
  <si>
    <t xml:space="preserve">ExRx.net</t>
  </si>
  <si>
    <t xml:space="preserve">Bodyweight Close Grip Push-up</t>
  </si>
  <si>
    <t xml:space="preserve">https://exrx.net/WeightExercises/Triceps/BWCloseGripPushupKnees</t>
  </si>
  <si>
    <t xml:space="preserve">Biblioteca de exercícios (referência técnica)</t>
  </si>
  <si>
    <t xml:space="preserve">Parallel Bar Dip Alternatives</t>
  </si>
  <si>
    <t xml:space="preserve">https://fitnessvolt.com/substitute-exercises/parallel-bar-dip-alternatives</t>
  </si>
  <si>
    <t xml:space="preserve">The Bioneer</t>
  </si>
  <si>
    <t xml:space="preserve">Bodyweight Bicep Exercises Without Equipment</t>
  </si>
  <si>
    <t xml:space="preserve">https://www.thebioneer.com/bodyweight-bicep-exercises-without-equipment-weights-or-pull-up-bar/</t>
  </si>
  <si>
    <t xml:space="preserve">Chin-Up Muscles Worked</t>
  </si>
  <si>
    <t xml:space="preserve">https://fitbod.me/blog/chin-up-muscles/</t>
  </si>
  <si>
    <t xml:space="preserve">Artigo técnico (app)</t>
  </si>
  <si>
    <t xml:space="preserve">Mirafit</t>
  </si>
  <si>
    <t xml:space="preserve">20 Bicep Curl Variations</t>
  </si>
  <si>
    <t xml:space="preserve">https://mirafit.co.uk/blog/20-bicep-curl-variations/</t>
  </si>
  <si>
    <t xml:space="preserve">Wrist Curl (Flexion)</t>
  </si>
  <si>
    <t xml:space="preserve">https://acefitness.org/education-and-resources/lifestyle/exercise-library/30/wrist-curl-flexion</t>
  </si>
  <si>
    <t xml:space="preserve">Wrist Curl Extension</t>
  </si>
  <si>
    <t xml:space="preserve">https://acefitness.org/resources/everyone/exercise-library/29/wrist-curl-extension</t>
  </si>
  <si>
    <t xml:space="preserve">The ONLY 3 Grip Strength Exercises You Need</t>
  </si>
  <si>
    <t xml:space="preserve">https://fitnessvolt.com/grip-strength-exercises/</t>
  </si>
  <si>
    <t xml:space="preserve">https://www.acefitness.org/resources/everyone/exercise-library/366/bulgarian-split-squat/</t>
  </si>
  <si>
    <t xml:space="preserve">Droga Raia</t>
  </si>
  <si>
    <t xml:space="preserve">Agachamento Búlgaro: músculos trabalhados e como fazer</t>
  </si>
  <si>
    <t xml:space="preserve">https://www.drogaraia.com.br/blog/atividade-fisica/musculacao/agachamento-bulgaro-musculos-trabalhados-e-como-fazer</t>
  </si>
  <si>
    <t xml:space="preserve">Fonte brasileira (conteúdo de saúde revisado)</t>
  </si>
  <si>
    <t xml:space="preserve">Squat - Bodyweight</t>
  </si>
  <si>
    <t xml:space="preserve">https://gymkee.com/exercises/quadriceps/squat-bodyweight/</t>
  </si>
  <si>
    <t xml:space="preserve">https://acefitness.org/resources/everyone/exercise-library/94/forward-lunge/</t>
  </si>
  <si>
    <t xml:space="preserve">How to Do Bodyweight Leg Curl</t>
  </si>
  <si>
    <t xml:space="preserve">https://www.strengthlog.com/?p=25947</t>
  </si>
  <si>
    <t xml:space="preserve">SportsInjuryClinic.net</t>
  </si>
  <si>
    <t xml:space="preserve">Single Leg RDL</t>
  </si>
  <si>
    <t xml:space="preserve">https://www.sportsinjuryclinic.net/?p=106103</t>
  </si>
  <si>
    <t xml:space="preserve">Fonte clínica</t>
  </si>
  <si>
    <t xml:space="preserve">CatalystAthletics</t>
  </si>
  <si>
    <t xml:space="preserve">https://catalystathletics.com/exercise/730/Glute-Bridge/</t>
  </si>
  <si>
    <t xml:space="preserve">Biblioteca de exercícios (metodologia ExRx)</t>
  </si>
  <si>
    <t xml:space="preserve">Calf Raise (#294 - máquina sentado, pernas estendidas)</t>
  </si>
  <si>
    <t xml:space="preserve">https://www.acefitness.org/resources/everyone/exercise-library/294/calf-raise/</t>
  </si>
  <si>
    <t xml:space="preserve">Muscle &amp; Strength</t>
  </si>
  <si>
    <t xml:space="preserve">https://www.muscleandstrength.com/node/3779</t>
  </si>
  <si>
    <t xml:space="preserve">How to Do Barbell Standing Calf Raise</t>
  </si>
  <si>
    <t xml:space="preserve">https://www.strengthlog.com/barbell-standing-calf-raise/</t>
  </si>
  <si>
    <t xml:space="preserve">Cable Standing Overhead Crunch</t>
  </si>
  <si>
    <t xml:space="preserve">https://exrx.net/WeightExercises/RectusAbdominis/CBStandingOverheadCrunch</t>
  </si>
  <si>
    <t xml:space="preserve">https://www.acefitness.org/resources/everyone/exercise-library/52/crunch/</t>
  </si>
  <si>
    <t xml:space="preserve">https://www.acefitness.org/resources/everyone/exercise-library/32/front-plank/</t>
  </si>
  <si>
    <t xml:space="preserve">https://fitbod.me/exercises/ab-crunch-machine</t>
  </si>
  <si>
    <t xml:space="preserve">University of Sussex Sport Dept.</t>
  </si>
  <si>
    <t xml:space="preserve">Ab Wheel Roll Out (guia técnico)</t>
  </si>
  <si>
    <t xml:space="preserve">https://www.sussex.ac.uk/sport/documents/ab-wheel-roll-out.pdf</t>
  </si>
  <si>
    <t xml:space="preserve">Guia técnico institucional</t>
  </si>
  <si>
    <t xml:space="preserve">Mountain Climbers</t>
  </si>
  <si>
    <t xml:space="preserve">https://www.acefitness.org/resources/everyone/exercise-library/258/mountain-climbers/</t>
  </si>
  <si>
    <t xml:space="preserve">How to Perform the Leg Raise Exercise</t>
  </si>
  <si>
    <t xml:space="preserve">https://www.physitrack.com/exercise-library/how-to-perform-the-leg-raise-exercise</t>
  </si>
  <si>
    <t xml:space="preserve">Biblioteca clínica</t>
  </si>
  <si>
    <t xml:space="preserve">https://www.strengthlog.com/captains-chair-leg-raise/</t>
  </si>
  <si>
    <t xml:space="preserve">ACSM</t>
  </si>
  <si>
    <t xml:space="preserve">Progression Models in Resistance Training for Healthy Adults (Position Stand)</t>
  </si>
  <si>
    <t xml:space="preserve">https://www.sportgeneeskunde.com/wp-content/uploads/ACSM-Position-Stand-Progression-Models-in-Resistance-Training-for-Healthy-Adults.pdf</t>
  </si>
  <si>
    <t xml:space="preserve">Diretriz científica (American College of Sports Medicine)</t>
  </si>
  <si>
    <t xml:space="preserve">Lateral Raise (#26)</t>
  </si>
  <si>
    <t xml:space="preserve">https://www.acefitness.org/resources/everyone/exercise-library/26/lateral-raise/</t>
  </si>
  <si>
    <t xml:space="preserve">https://www.strengthlog.com/dumbbell-lateral-raise/</t>
  </si>
  <si>
    <t xml:space="preserve">https://www.strengthlog.com/hammer-curl/</t>
  </si>
  <si>
    <t xml:space="preserve">https://www.strengthlog.com/t-bar-row/</t>
  </si>
  <si>
    <t xml:space="preserve">https://www.strengthlog.com/smith-machine-squat/</t>
  </si>
  <si>
    <t xml:space="preserve">https://www.strengthlog.com/lying-leg-curl/</t>
  </si>
  <si>
    <t xml:space="preserve">https://www.strengthlog.com/seated-calf-raise/</t>
  </si>
  <si>
    <t xml:space="preserve">https://www.strengthlog.com/incline-bench-press/</t>
  </si>
  <si>
    <t xml:space="preserve">Standing Cable Chest Fly</t>
  </si>
  <si>
    <t xml:space="preserve">https://www.strengthlog.com/standing-cable-chest-fly/</t>
  </si>
  <si>
    <t xml:space="preserve">Lying Triceps Extension (EZ Bar)</t>
  </si>
  <si>
    <t xml:space="preserve">https://www.strengthlog.com/lying-triceps-extension-ez-bar/</t>
  </si>
  <si>
    <t xml:space="preserve">https://www.strengthlog.com/bayesian-curl/</t>
  </si>
  <si>
    <t xml:space="preserve">European Journal of Sport Science (2025)</t>
  </si>
  <si>
    <t xml:space="preserve">Bayesian vs. preacher cable curl: 10-week training study (doi:10.1002/ejsc.12279)</t>
  </si>
  <si>
    <t xml:space="preserve">https://www.ncbi.nlm.nih.gov/pmc/articles/PMC11906226/</t>
  </si>
  <si>
    <t xml:space="preserve">Artigo científico (estudo de treinamento)</t>
  </si>
  <si>
    <t xml:space="preserve">Lever Incline Chest Press</t>
  </si>
  <si>
    <t xml:space="preserve">https://exrx.net/WeightExercises/PectoralClavicular/LVInclineChestPressPL</t>
  </si>
  <si>
    <t xml:space="preserve">https://www.strengthlog.com/dumbbell-chest-fly/</t>
  </si>
  <si>
    <t xml:space="preserve">https://www.strengthlog.com/machine-chest-press/</t>
  </si>
  <si>
    <t xml:space="preserve">https://www.strengthlog.com/machine-shoulder-press/</t>
  </si>
  <si>
    <t xml:space="preserve">Hack Squat Machine</t>
  </si>
  <si>
    <t xml:space="preserve">https://www.strengthlog.com/hack-squat-machine/</t>
  </si>
  <si>
    <t xml:space="preserve">https://www.strengthlog.com/cable-front-raise/</t>
  </si>
  <si>
    <t xml:space="preserve">Lever Seated Hip Adduction</t>
  </si>
  <si>
    <t xml:space="preserve">https://exrx.net/WeightExercises/HipAdductors/LVSeatedHipAdduction</t>
  </si>
  <si>
    <t xml:space="preserve">https://www.strengthlog.com/hip-adduction-machine/</t>
  </si>
  <si>
    <t xml:space="preserve">Lever Seated Hip Abduction</t>
  </si>
  <si>
    <t xml:space="preserve">https://exrx.net/WeightExercises/HipAbductor/LVSeatedHipAbduction</t>
  </si>
  <si>
    <t xml:space="preserve">https://www.strengthlog.com/hip-abduction-machine/</t>
  </si>
  <si>
    <t xml:space="preserve">https://www.strengthlog.com/close-grip-lat-pulldown/</t>
  </si>
  <si>
    <t xml:space="preserve">Dumbbell Chest Press</t>
  </si>
  <si>
    <t xml:space="preserve">https://www.strengthlog.com/dumbbell-chest-press/</t>
  </si>
  <si>
    <t xml:space="preserve">Distefano et al. (2009) - JOSPT 39(7)</t>
  </si>
  <si>
    <t xml:space="preserve">Gluteal muscle activation during common therapeutic exercises (doi:10.2519/jospt.2009.2796)</t>
  </si>
  <si>
    <t xml:space="preserve">https://www.jospt.org/doi/10.2519/jospt.2009.2796</t>
  </si>
  <si>
    <t xml:space="preserve">Artigo científico (EMG)</t>
  </si>
  <si>
    <t xml:space="preserve">Dumbbell Lying Hip Abduction</t>
  </si>
  <si>
    <t xml:space="preserve">https://exrx.net/WeightExercises/HipAbductor/DBLyingHipAbduction</t>
  </si>
  <si>
    <t xml:space="preserve">Delmore et al. (2014) - J Sport Rehabil 23(2)</t>
  </si>
  <si>
    <t xml:space="preserve">Comparison of hip adductor activation during common exercises</t>
  </si>
  <si>
    <t xml:space="preserve">https://pubmed.ncbi.nlm.nih.gov/23945760/</t>
  </si>
  <si>
    <t xml:space="preserve">ClinicalTrials.gov</t>
  </si>
  <si>
    <t xml:space="preserve">Protocolo NCT02913222 (execução da adução de quadril deitado de lado)</t>
  </si>
  <si>
    <t xml:space="preserve">https://cdn.clinicaltrials.gov/large-docs/22/NCT02913222/Prot_SAP_000.pdf</t>
  </si>
  <si>
    <t xml:space="preserve">Protocolo clínico</t>
  </si>
  <si>
    <t xml:space="preserve">Side Lunges (Bodyweight)</t>
  </si>
  <si>
    <t xml:space="preserve">https://www.strengthlog.com/side-lunges-bodyweight/</t>
  </si>
  <si>
    <t xml:space="preserve">A Guide to At-Home Workouts for Beginners (inclui afundo lateral)</t>
  </si>
  <si>
    <t xml:space="preserve">https://www.acefitness.org/resources/everyone/blog/7855/a-guide-to-at-home-workouts-for-beginners/</t>
  </si>
  <si>
    <t xml:space="preserve">https://www.strengthlog.com/pec-deck/</t>
  </si>
  <si>
    <t xml:space="preserve">Push-Up (#41)</t>
  </si>
  <si>
    <t xml:space="preserve">https://www.acefitness.org/resources/everyone/exercise-library/41/push-up/</t>
  </si>
  <si>
    <t xml:space="preserve">Push-Up</t>
  </si>
  <si>
    <t xml:space="preserve">https://www.strengthlog.com/push-up/</t>
  </si>
  <si>
    <t xml:space="preserve">Pull-Up</t>
  </si>
  <si>
    <t xml:space="preserve">https://www.strengthlog.com/pull-up/</t>
  </si>
  <si>
    <t xml:space="preserve">Cable Curl With Bar</t>
  </si>
  <si>
    <t xml:space="preserve">https://www.strengthlog.com/cable-curl-with-bar/</t>
  </si>
  <si>
    <t xml:space="preserve">Machine Bicep Curl</t>
  </si>
  <si>
    <t xml:space="preserve">https://www.strengthlog.com/machine-bicep-curl/</t>
  </si>
  <si>
    <t xml:space="preserve">Biblioteca de exercícios (conteúdo a reconferir)</t>
  </si>
  <si>
    <t xml:space="preserve">https://www.strengthlog.com/incline-dumbbell-curl/</t>
  </si>
  <si>
    <t xml:space="preserve">Tricep Pushdown With Bar</t>
  </si>
  <si>
    <t xml:space="preserve">https://www.strengthlog.com/tricep-pushdown-with-bar/</t>
  </si>
  <si>
    <t xml:space="preserve">Cable Lying Triceps Extension</t>
  </si>
  <si>
    <t xml:space="preserve">https://exrx.net/WeightExercises/Triceps/CBLyingTriExt</t>
  </si>
  <si>
    <t xml:space="preserve">Overhead Cable Triceps Extension</t>
  </si>
  <si>
    <t xml:space="preserve">https://www.strengthlog.com/overhead-cable-triceps-extension/</t>
  </si>
  <si>
    <t xml:space="preserve">https://www.strengthlog.com/leg-extension/</t>
  </si>
  <si>
    <t xml:space="preserve">https://www.strengthlog.com/leg-press/</t>
  </si>
  <si>
    <t xml:space="preserve">Squat</t>
  </si>
  <si>
    <t xml:space="preserve">https://www.strengthlog.com/squat/</t>
  </si>
  <si>
    <t xml:space="preserve">https://www.strengthlog.com/seated-leg-curl/</t>
  </si>
  <si>
    <t xml:space="preserve">Stiff-Legged Deadlift</t>
  </si>
  <si>
    <t xml:space="preserve">https://www.strengthlog.com/stiff-legged-deadlift/</t>
  </si>
  <si>
    <t xml:space="preserve">Romanian Deadlift</t>
  </si>
  <si>
    <t xml:space="preserve">https://www.strengthlog.com/romanian-deadlift/</t>
  </si>
  <si>
    <t xml:space="preserve">https://www.strengthlog.com/deadlift/</t>
  </si>
  <si>
    <t xml:space="preserve">Standing Calf Raises - Wall (#73)</t>
  </si>
  <si>
    <t xml:space="preserve">https://www.acefitness.org/resources/everyone/exercise-library/73/standing-calf-raises-wall/</t>
  </si>
  <si>
    <t xml:space="preserve">Calf Raises com barra (#51)</t>
  </si>
  <si>
    <t xml:space="preserve">https://www.acefitness.org/education-and-resources/lifestyle/exercise-library/51/calf-raises/</t>
  </si>
  <si>
    <t xml:space="preserve">Bar Dip</t>
  </si>
  <si>
    <t xml:space="preserve">https://www.strengthlog.com/bar-dip/</t>
  </si>
  <si>
    <t xml:space="preserve">Standing Calf Raise (machine)</t>
  </si>
  <si>
    <t xml:space="preserve">https://www.strengthlog.com/standing-calf-raise/</t>
  </si>
  <si>
    <t xml:space="preserve">n_alternativas</t>
  </si>
  <si>
    <t xml:space="preserve">n_sem_equipamento</t>
  </si>
  <si>
    <t xml:space="preserve">status</t>
  </si>
  <si>
    <t xml:space="preserve">Resumo</t>
  </si>
  <si>
    <t xml:space="preserve">Exercícios OK:</t>
  </si>
  <si>
    <t xml:space="preserve">Total:</t>
  </si>
  <si>
    <t xml:space="preserve">antes</t>
  </si>
  <si>
    <t xml:space="preserve">depois</t>
  </si>
  <si>
    <t xml:space="preserve">motivo</t>
  </si>
  <si>
    <t xml:space="preserve">Adicionado (listas dos usuários)</t>
  </si>
  <si>
    <t xml:space="preserve">Supino Reto com Halteres, Supino Inclinado com Barra, Supino na Máquina, Supino Inclinado na Máquina, Crucifixo Reto com Halteres, Crossover na Polia</t>
  </si>
  <si>
    <t xml:space="preserve">-</t>
  </si>
  <si>
    <t xml:space="preserve">Citados com nome claro nas listas de treino; fonte em exercicio_fonte</t>
  </si>
  <si>
    <t xml:space="preserve">Elevação Lateral com Halteres, Desenvolvimento na Máquina, Elevação Frontal na Polia, Puxada Alta com Triângulo, Remada Cavalinho</t>
  </si>
  <si>
    <t xml:space="preserve">Idem</t>
  </si>
  <si>
    <t xml:space="preserve">Rosca Martelo, Rosca por Trás do Corpo na Polia, Tríceps Testa com Barra W</t>
  </si>
  <si>
    <t xml:space="preserve">Agachamento no Smith, Agachamento Hack, Mesa Flexora, Elevação de Panturrilha Sentado, Cadeira Adutora, Cadeira Abdutora</t>
  </si>
  <si>
    <t xml:space="preserve">Adicionado (regra sem equipamento)</t>
  </si>
  <si>
    <t xml:space="preserve">Abdução de Quadril Deitado de Lado, Adução de Quadril Deitado de Lado, Afundo Lateral</t>
  </si>
  <si>
    <t xml:space="preserve">Necessários para Cadeira Abdutora/Adutora terem alternativa sem equipamento; com estudo EMG</t>
  </si>
  <si>
    <t xml:space="preserve">Mapeado para exercício existente</t>
  </si>
  <si>
    <t xml:space="preserve">Lat Pulldown, Puxada Frontal, Puxada Alta (Máquina)</t>
  </si>
  <si>
    <t xml:space="preserve">Mesmo exercício (nomes viraram apelidos para a busca)</t>
  </si>
  <si>
    <t xml:space="preserve">Pull Up</t>
  </si>
  <si>
    <t xml:space="preserve">Iso-Lateral Row, Remada Iso-Lateral, Remada Baixa Iso-Lateral</t>
  </si>
  <si>
    <t xml:space="preserve">Tríceps da Polia, Tríceps na Polia com Corda, Tríceps Corda</t>
  </si>
  <si>
    <t xml:space="preserve">Corda/barra são acessórios da polia</t>
  </si>
  <si>
    <t xml:space="preserve">Overhead Triceps Extension, Extensão de Tríceps Acima da Cabeça (Cabo), Tríceps Francês</t>
  </si>
  <si>
    <t xml:space="preserve">Skullcrusher</t>
  </si>
  <si>
    <t xml:space="preserve">Preacher Curl (Dumbbell)</t>
  </si>
  <si>
    <t xml:space="preserve">Seated Incline Curl, Bíceps banco 45</t>
  </si>
  <si>
    <t xml:space="preserve">Supino 45 com halter</t>
  </si>
  <si>
    <t xml:space="preserve">Crucifixo (Máquina), Peck Deck, Voador (Pec Deck)</t>
  </si>
  <si>
    <t xml:space="preserve">Cable Fly Crossovers, Crossover declinado</t>
  </si>
  <si>
    <t xml:space="preserve">A altura das polias é variação do mesmo exercício</t>
  </si>
  <si>
    <t xml:space="preserve">Rosca Unilateral (Cabo)</t>
  </si>
  <si>
    <t xml:space="preserve">Mesmo exercício feito com um braço</t>
  </si>
  <si>
    <t xml:space="preserve">Rear Delt Reverse Fly, Crucifixo invertido</t>
  </si>
  <si>
    <t xml:space="preserve">Desenvolvimento de Ombros Sentado, Desenvolvimento ombro</t>
  </si>
  <si>
    <t xml:space="preserve">Leg Press Unilateral, Levantamento Terra (Smith)</t>
  </si>
  <si>
    <t xml:space="preserve">Leg Press / Levantamento Terra</t>
  </si>
  <si>
    <t xml:space="preserve">Variações do mesmo exercício (viraram apelidos)</t>
  </si>
  <si>
    <t xml:space="preserve">Ignorado</t>
  </si>
  <si>
    <t xml:space="preserve">'aquela puxada por cima', 'aquela cadeira de puxar pra cima', 'tríceps na polia alta/média/baixa'</t>
  </si>
  <si>
    <t xml:space="preserve">Usuário não sabia o nome do exercício</t>
  </si>
  <si>
    <t xml:space="preserve">'remada' (genérico), 'tríceps na barra W'</t>
  </si>
  <si>
    <t xml:space="preserve">Nome genérico ou ambíguo; já coberto por Remada Baixa/Unilateral e Tríceps Testa com Barra W/Pulley</t>
  </si>
  <si>
    <t xml:space="preserve">Correção de dado</t>
  </si>
  <si>
    <t xml:space="preserve">Flexão de Braço nível 1</t>
  </si>
  <si>
    <t xml:space="preserve">Nível 2</t>
  </si>
  <si>
    <t xml:space="preserve">ACE classifica como Intermediário</t>
  </si>
  <si>
    <t xml:space="preserve">Fonte ACE #294 na panturrilha em pé</t>
  </si>
  <si>
    <t xml:space="preserve">StrengthLog Standing Calf Raise</t>
  </si>
  <si>
    <t xml:space="preserve">A ACE #294 é um exercício sentado com as pernas estendidas</t>
  </si>
  <si>
    <t xml:space="preserve">Elevação de Panturrilha na Máquina</t>
  </si>
  <si>
    <t xml:space="preserve">Diferenciar da nova Elevação de Panturrilha Sentado</t>
  </si>
  <si>
    <t xml:space="preserve">Tríceps Testa na Polia: nível 1, sem banco</t>
  </si>
  <si>
    <t xml:space="preserve">Nível 2, com banco reto</t>
  </si>
  <si>
    <t xml:space="preserve">Execução deitado no banco (ExRx)</t>
  </si>
  <si>
    <t xml:space="preserve">Cadeira Flexora 'sentado/deitado'</t>
  </si>
  <si>
    <t xml:space="preserve">Sentado</t>
  </si>
  <si>
    <t xml:space="preserve">A versão deitada agora é a Mesa Flexora</t>
  </si>
  <si>
    <t xml:space="preserve">Mergulho: 'apoio em barras ou banco'</t>
  </si>
  <si>
    <t xml:space="preserve">Profundidade até braços paralelos ao chão</t>
  </si>
  <si>
    <t xml:space="preserve">Mergulho no banco é outro exercício; recomendação de profundidade (StrengthLog)</t>
  </si>
  <si>
    <t xml:space="preserve">Correção de texto</t>
  </si>
  <si>
    <t xml:space="preserve">'Uma anca por vez' (Rosca Scott com Halteres)</t>
  </si>
  <si>
    <t xml:space="preserve">'Um braço por vez'</t>
  </si>
  <si>
    <t xml:space="preserve">Erro de escrita</t>
  </si>
  <si>
    <t xml:space="preserve">Passos de execução com maiúsculas/pontuação irregulares</t>
  </si>
  <si>
    <t xml:space="preserve">Corrigidos</t>
  </si>
  <si>
    <t xml:space="preserve">Revisão de escrita</t>
  </si>
  <si>
    <t xml:space="preserve">Fonte adicionada</t>
  </si>
  <si>
    <t xml:space="preserve">15 exercícios que estavam sem fonte (Voador, Flexão, Barra Fixa, roscas, tríceps, pernas)</t>
  </si>
  <si>
    <t xml:space="preserve">StrengthLog / ACE / ExRx</t>
  </si>
  <si>
    <t xml:space="preserve">Grupo muscular novo</t>
  </si>
  <si>
    <t xml:space="preserve">Necessário para Cadeira Adutora e exercícios de adutores</t>
  </si>
  <si>
    <t xml:space="preserve">Padronização</t>
  </si>
  <si>
    <t xml:space="preserve">Grupo 'Dorsal (Latíssimo)'</t>
  </si>
  <si>
    <t xml:space="preserve">Nome único para filtro</t>
  </si>
  <si>
    <t xml:space="preserve">Equipamento 'Máquina' genérico</t>
  </si>
  <si>
    <t xml:space="preserve">Equipamentos específicos</t>
  </si>
  <si>
    <t xml:space="preserve">Permite filtrar pela máquina disponível</t>
  </si>
  <si>
    <t xml:space="preserve">Equipamento 'Nenhum (peso do corpo)'</t>
  </si>
  <si>
    <t xml:space="preserve">Sem linhas em exercicio_equipamento</t>
  </si>
  <si>
    <t xml:space="preserve">Ausência de equipamento é calculada</t>
  </si>
  <si>
    <t xml:space="preserve">Correção de regra</t>
  </si>
  <si>
    <t xml:space="preserve">Barra Fixa / Remada Invertida como 'sem equipamento'</t>
  </si>
  <si>
    <t xml:space="preserve">Contam como equipamento</t>
  </si>
  <si>
    <t xml:space="preserve">Regra de zero objetos; parede e chão não contam</t>
  </si>
  <si>
    <t xml:space="preserve">Removido</t>
  </si>
  <si>
    <t xml:space="preserve">Flexão de Isquiotibiais Deslizante</t>
  </si>
  <si>
    <t xml:space="preserve">Usa meia/toalha (objeto)</t>
  </si>
  <si>
    <t xml:space="preserve">Tríceps Supino</t>
  </si>
  <si>
    <t xml:space="preserve">Nome ambíguo - confirmar com Lucas</t>
  </si>
  <si>
    <t xml:space="preserve">Ainda não catalogado</t>
  </si>
  <si>
    <t xml:space="preserve">Crucifixo inclinado com halteres, Remada curvada com halteres, Remada Serrote, Face pull, Peck Deck Invertido, Elevação Frontal com Halteres, Tríceps Testa com Halteres</t>
  </si>
  <si>
    <t xml:space="preserve">Candidatos para versões futuras</t>
  </si>
  <si>
    <t xml:space="preserve">Rosca Direta com Halteres/Barra W, Rosca Scott com Barra W, Rosca Spider, Leg Horizontal, Levantamento Terra Sumô, Barra Fixa Supinada</t>
  </si>
  <si>
    <t xml:space="preserve">Exceção à regra</t>
  </si>
  <si>
    <t xml:space="preserve">Sem alternativa sem equipamento</t>
  </si>
  <si>
    <t xml:space="preserve">É o único exercício de bíceps sem objeto</t>
  </si>
  <si>
    <t xml:space="preserve">Observação</t>
  </si>
  <si>
    <t xml:space="preserve">Níveis de dificuldade</t>
  </si>
  <si>
    <t xml:space="preserve">Em sua maioria estimados (só a ACE classifica dificuldade); validar com o professor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</si>
</sst>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  <fill>
      <patternFill patternType="solid">
        <fgColor rgb="FFD9D9D9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4472C4"/>
      <rgbColor rgb="FF33CCCC"/>
      <rgbColor rgb="FF99CC00"/>
      <rgbColor rgb="FFFFC000"/>
      <rgbColor rgb="FFFF9900"/>
      <rgbColor rgb="FFFF6600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/>
    </row>
    <row r="26" customFormat="false" ht="23.85" hidden="false" customHeight="false" outlineLevel="0" collapsed="false">
      <c r="A26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L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30"/>
    <col collapsed="false" customWidth="true" hidden="false" outlineLevel="0" max="4" min="4" style="0" width="55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55"/>
    <col collapsed="false" customWidth="true" hidden="false" outlineLevel="0" max="8" min="8" style="0" width="30"/>
    <col collapsed="false" customWidth="true" hidden="false" outlineLevel="0" max="9" min="9" style="0" width="28"/>
    <col collapsed="false" customWidth="true" hidden="false" outlineLevel="0" max="10" min="10" style="0" width="45"/>
    <col collapsed="false" customWidth="true" hidden="false" outlineLevel="0" max="11" min="11" style="0" width="14"/>
    <col collapsed="false" customWidth="true" hidden="false" outlineLevel="0" max="12" min="12" style="0" width="12"/>
  </cols>
  <sheetData>
    <row r="1" customFormat="false" ht="31.5" hidden="false" customHeight="true" outlineLevel="0" collapsed="false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5" t="s">
        <v>31</v>
      </c>
      <c r="L1" s="5" t="s">
        <v>32</v>
      </c>
    </row>
    <row r="2" customFormat="false" ht="23.85" hidden="false" customHeight="false" outlineLevel="0" collapsed="false">
      <c r="A2" s="6" t="n">
        <v>1</v>
      </c>
      <c r="B2" s="7" t="s">
        <v>33</v>
      </c>
      <c r="C2" s="6" t="s">
        <v>34</v>
      </c>
      <c r="D2" s="7" t="s">
        <v>35</v>
      </c>
      <c r="E2" s="6" t="n">
        <v>2</v>
      </c>
      <c r="F2" s="6" t="n">
        <v>1</v>
      </c>
      <c r="G2" s="7" t="s">
        <v>36</v>
      </c>
      <c r="H2" s="6"/>
      <c r="I2" s="6" t="s">
        <v>37</v>
      </c>
      <c r="J2" s="7"/>
      <c r="K2" s="8" t="b">
        <f aca="false">COUNTIF(exercicio_equipamento!$A$2:$A$400,A2)&gt;0</f>
        <v>1</v>
      </c>
      <c r="L2" s="9" t="n">
        <f aca="false">COUNTIF(exercicio_alternativo!$A$2:$A$400,A2)</f>
        <v>4</v>
      </c>
    </row>
    <row r="3" customFormat="false" ht="23.85" hidden="false" customHeight="false" outlineLevel="0" collapsed="false">
      <c r="A3" s="6" t="n">
        <v>2</v>
      </c>
      <c r="B3" s="7" t="s">
        <v>38</v>
      </c>
      <c r="C3" s="6" t="s">
        <v>39</v>
      </c>
      <c r="D3" s="7" t="s">
        <v>40</v>
      </c>
      <c r="E3" s="6" t="n">
        <v>2</v>
      </c>
      <c r="F3" s="6" t="n">
        <v>1</v>
      </c>
      <c r="G3" s="7" t="s">
        <v>41</v>
      </c>
      <c r="H3" s="6" t="s">
        <v>42</v>
      </c>
      <c r="I3" s="6" t="s">
        <v>37</v>
      </c>
      <c r="J3" s="7"/>
      <c r="K3" s="8" t="b">
        <f aca="false">COUNTIF(exercicio_equipamento!$A$2:$A$400,A3)&gt;0</f>
        <v>1</v>
      </c>
      <c r="L3" s="9" t="n">
        <f aca="false">COUNTIF(exercicio_alternativo!$A$2:$A$400,A3)</f>
        <v>4</v>
      </c>
    </row>
    <row r="4" customFormat="false" ht="35.05" hidden="false" customHeight="false" outlineLevel="0" collapsed="false">
      <c r="A4" s="6" t="n">
        <v>3</v>
      </c>
      <c r="B4" s="7" t="s">
        <v>43</v>
      </c>
      <c r="C4" s="6" t="s">
        <v>44</v>
      </c>
      <c r="D4" s="7" t="s">
        <v>45</v>
      </c>
      <c r="E4" s="6" t="n">
        <v>1</v>
      </c>
      <c r="F4" s="6" t="n">
        <v>3</v>
      </c>
      <c r="G4" s="7" t="s">
        <v>46</v>
      </c>
      <c r="H4" s="6" t="s">
        <v>47</v>
      </c>
      <c r="I4" s="6" t="s">
        <v>37</v>
      </c>
      <c r="J4" s="7"/>
      <c r="K4" s="8" t="b">
        <f aca="false">COUNTIF(exercicio_equipamento!$A$2:$A$400,A4)&gt;0</f>
        <v>1</v>
      </c>
      <c r="L4" s="9" t="n">
        <f aca="false">COUNTIF(exercicio_alternativo!$A$2:$A$400,A4)</f>
        <v>3</v>
      </c>
    </row>
    <row r="5" customFormat="false" ht="35.05" hidden="false" customHeight="false" outlineLevel="0" collapsed="false">
      <c r="A5" s="6" t="n">
        <v>4</v>
      </c>
      <c r="B5" s="7" t="s">
        <v>48</v>
      </c>
      <c r="C5" s="6" t="s">
        <v>49</v>
      </c>
      <c r="D5" s="7" t="s">
        <v>50</v>
      </c>
      <c r="E5" s="6" t="n">
        <v>2</v>
      </c>
      <c r="F5" s="6" t="n">
        <v>1</v>
      </c>
      <c r="G5" s="7" t="s">
        <v>51</v>
      </c>
      <c r="H5" s="6"/>
      <c r="I5" s="6" t="s">
        <v>37</v>
      </c>
      <c r="J5" s="7" t="s">
        <v>52</v>
      </c>
      <c r="K5" s="8" t="b">
        <f aca="false">COUNTIF(exercicio_equipamento!$A$2:$A$400,A5)&gt;0</f>
        <v>0</v>
      </c>
      <c r="L5" s="9" t="n">
        <f aca="false">COUNTIF(exercicio_alternativo!$A$2:$A$400,A5)</f>
        <v>4</v>
      </c>
    </row>
    <row r="6" customFormat="false" ht="35.05" hidden="false" customHeight="false" outlineLevel="0" collapsed="false">
      <c r="A6" s="6" t="n">
        <v>5</v>
      </c>
      <c r="B6" s="7" t="s">
        <v>53</v>
      </c>
      <c r="C6" s="6" t="s">
        <v>54</v>
      </c>
      <c r="D6" s="7" t="s">
        <v>55</v>
      </c>
      <c r="E6" s="6" t="n">
        <v>1</v>
      </c>
      <c r="F6" s="6" t="n">
        <v>1</v>
      </c>
      <c r="G6" s="7" t="s">
        <v>56</v>
      </c>
      <c r="H6" s="6"/>
      <c r="I6" s="6" t="s">
        <v>37</v>
      </c>
      <c r="J6" s="7"/>
      <c r="K6" s="8" t="b">
        <f aca="false">COUNTIF(exercicio_equipamento!$A$2:$A$400,A6)&gt;0</f>
        <v>0</v>
      </c>
      <c r="L6" s="9" t="n">
        <f aca="false">COUNTIF(exercicio_alternativo!$A$2:$A$400,A6)</f>
        <v>4</v>
      </c>
    </row>
    <row r="7" customFormat="false" ht="35.05" hidden="false" customHeight="false" outlineLevel="0" collapsed="false">
      <c r="A7" s="6" t="n">
        <v>6</v>
      </c>
      <c r="B7" s="7" t="s">
        <v>57</v>
      </c>
      <c r="C7" s="6" t="s">
        <v>58</v>
      </c>
      <c r="D7" s="7" t="s">
        <v>59</v>
      </c>
      <c r="E7" s="6" t="n">
        <v>2</v>
      </c>
      <c r="F7" s="6" t="n">
        <v>1</v>
      </c>
      <c r="G7" s="7" t="s">
        <v>60</v>
      </c>
      <c r="H7" s="6"/>
      <c r="I7" s="6" t="s">
        <v>37</v>
      </c>
      <c r="J7" s="7" t="s">
        <v>61</v>
      </c>
      <c r="K7" s="8" t="b">
        <f aca="false">COUNTIF(exercicio_equipamento!$A$2:$A$400,A7)&gt;0</f>
        <v>0</v>
      </c>
      <c r="L7" s="9" t="n">
        <f aca="false">COUNTIF(exercicio_alternativo!$A$2:$A$400,A7)</f>
        <v>4</v>
      </c>
    </row>
    <row r="8" customFormat="false" ht="35.05" hidden="false" customHeight="false" outlineLevel="0" collapsed="false">
      <c r="A8" s="6" t="n">
        <v>7</v>
      </c>
      <c r="B8" s="7" t="s">
        <v>62</v>
      </c>
      <c r="C8" s="6" t="s">
        <v>63</v>
      </c>
      <c r="D8" s="7" t="s">
        <v>64</v>
      </c>
      <c r="E8" s="6" t="n">
        <v>2</v>
      </c>
      <c r="F8" s="6" t="n">
        <v>2</v>
      </c>
      <c r="G8" s="7" t="s">
        <v>65</v>
      </c>
      <c r="H8" s="6"/>
      <c r="I8" s="6" t="s">
        <v>37</v>
      </c>
      <c r="J8" s="7"/>
      <c r="K8" s="8" t="b">
        <f aca="false">COUNTIF(exercicio_equipamento!$A$2:$A$400,A8)&gt;0</f>
        <v>1</v>
      </c>
      <c r="L8" s="9" t="n">
        <f aca="false">COUNTIF(exercicio_alternativo!$A$2:$A$400,A8)</f>
        <v>3</v>
      </c>
    </row>
    <row r="9" customFormat="false" ht="23.85" hidden="false" customHeight="false" outlineLevel="0" collapsed="false">
      <c r="A9" s="6" t="n">
        <v>8</v>
      </c>
      <c r="B9" s="7" t="s">
        <v>66</v>
      </c>
      <c r="C9" s="6" t="s">
        <v>67</v>
      </c>
      <c r="D9" s="7" t="s">
        <v>68</v>
      </c>
      <c r="E9" s="6" t="n">
        <v>2</v>
      </c>
      <c r="F9" s="6" t="n">
        <v>1</v>
      </c>
      <c r="G9" s="7" t="s">
        <v>69</v>
      </c>
      <c r="H9" s="6"/>
      <c r="I9" s="6" t="s">
        <v>37</v>
      </c>
      <c r="J9" s="7"/>
      <c r="K9" s="8" t="b">
        <f aca="false">COUNTIF(exercicio_equipamento!$A$2:$A$400,A9)&gt;0</f>
        <v>0</v>
      </c>
      <c r="L9" s="9" t="n">
        <f aca="false">COUNTIF(exercicio_alternativo!$A$2:$A$400,A9)</f>
        <v>4</v>
      </c>
    </row>
    <row r="10" customFormat="false" ht="23.85" hidden="false" customHeight="false" outlineLevel="0" collapsed="false">
      <c r="A10" s="6" t="n">
        <v>9</v>
      </c>
      <c r="B10" s="7" t="s">
        <v>70</v>
      </c>
      <c r="C10" s="6" t="s">
        <v>71</v>
      </c>
      <c r="D10" s="7" t="s">
        <v>72</v>
      </c>
      <c r="E10" s="6" t="n">
        <v>2</v>
      </c>
      <c r="F10" s="6" t="n">
        <v>2</v>
      </c>
      <c r="G10" s="7" t="s">
        <v>73</v>
      </c>
      <c r="H10" s="6"/>
      <c r="I10" s="6" t="s">
        <v>37</v>
      </c>
      <c r="J10" s="7"/>
      <c r="K10" s="8" t="b">
        <f aca="false">COUNTIF(exercicio_equipamento!$A$2:$A$400,A10)&gt;0</f>
        <v>0</v>
      </c>
      <c r="L10" s="9" t="n">
        <f aca="false">COUNTIF(exercicio_alternativo!$A$2:$A$400,A10)</f>
        <v>4</v>
      </c>
    </row>
    <row r="11" customFormat="false" ht="23.85" hidden="false" customHeight="false" outlineLevel="0" collapsed="false">
      <c r="A11" s="6" t="n">
        <v>10</v>
      </c>
      <c r="B11" s="7" t="s">
        <v>74</v>
      </c>
      <c r="C11" s="6" t="s">
        <v>75</v>
      </c>
      <c r="D11" s="7" t="s">
        <v>76</v>
      </c>
      <c r="E11" s="6" t="n">
        <v>3</v>
      </c>
      <c r="F11" s="6" t="n">
        <v>1</v>
      </c>
      <c r="G11" s="7" t="s">
        <v>77</v>
      </c>
      <c r="H11" s="6"/>
      <c r="I11" s="6" t="s">
        <v>37</v>
      </c>
      <c r="J11" s="7"/>
      <c r="K11" s="8" t="b">
        <f aca="false">COUNTIF(exercicio_equipamento!$A$2:$A$400,A11)&gt;0</f>
        <v>0</v>
      </c>
      <c r="L11" s="9" t="n">
        <f aca="false">COUNTIF(exercicio_alternativo!$A$2:$A$400,A11)</f>
        <v>3</v>
      </c>
    </row>
    <row r="12" customFormat="false" ht="35.05" hidden="false" customHeight="false" outlineLevel="0" collapsed="false">
      <c r="A12" s="6" t="n">
        <v>11</v>
      </c>
      <c r="B12" s="7" t="s">
        <v>78</v>
      </c>
      <c r="C12" s="6" t="s">
        <v>79</v>
      </c>
      <c r="D12" s="7" t="s">
        <v>80</v>
      </c>
      <c r="E12" s="6" t="n">
        <v>2</v>
      </c>
      <c r="F12" s="6" t="n">
        <v>2</v>
      </c>
      <c r="G12" s="7" t="s">
        <v>81</v>
      </c>
      <c r="H12" s="6" t="s">
        <v>82</v>
      </c>
      <c r="I12" s="6" t="s">
        <v>37</v>
      </c>
      <c r="J12" s="7" t="s">
        <v>83</v>
      </c>
      <c r="K12" s="8" t="b">
        <f aca="false">COUNTIF(exercicio_equipamento!$A$2:$A$400,A12)&gt;0</f>
        <v>1</v>
      </c>
      <c r="L12" s="9" t="n">
        <f aca="false">COUNTIF(exercicio_alternativo!$A$2:$A$400,A12)</f>
        <v>3</v>
      </c>
    </row>
    <row r="13" customFormat="false" ht="35.05" hidden="false" customHeight="false" outlineLevel="0" collapsed="false">
      <c r="A13" s="6" t="n">
        <v>12</v>
      </c>
      <c r="B13" s="7" t="s">
        <v>84</v>
      </c>
      <c r="C13" s="6" t="s">
        <v>85</v>
      </c>
      <c r="D13" s="7" t="s">
        <v>86</v>
      </c>
      <c r="E13" s="6" t="n">
        <v>2</v>
      </c>
      <c r="F13" s="6" t="n">
        <v>3</v>
      </c>
      <c r="G13" s="7" t="s">
        <v>87</v>
      </c>
      <c r="H13" s="6" t="s">
        <v>88</v>
      </c>
      <c r="I13" s="6" t="s">
        <v>37</v>
      </c>
      <c r="J13" s="7"/>
      <c r="K13" s="8" t="b">
        <f aca="false">COUNTIF(exercicio_equipamento!$A$2:$A$400,A13)&gt;0</f>
        <v>1</v>
      </c>
      <c r="L13" s="9" t="n">
        <f aca="false">COUNTIF(exercicio_alternativo!$A$2:$A$400,A13)</f>
        <v>3</v>
      </c>
    </row>
    <row r="14" customFormat="false" ht="23.85" hidden="false" customHeight="false" outlineLevel="0" collapsed="false">
      <c r="A14" s="6" t="n">
        <v>13</v>
      </c>
      <c r="B14" s="7" t="s">
        <v>89</v>
      </c>
      <c r="C14" s="6" t="s">
        <v>90</v>
      </c>
      <c r="D14" s="7" t="s">
        <v>91</v>
      </c>
      <c r="E14" s="6" t="n">
        <v>1</v>
      </c>
      <c r="F14" s="6" t="n">
        <v>3</v>
      </c>
      <c r="G14" s="7" t="s">
        <v>92</v>
      </c>
      <c r="H14" s="6"/>
      <c r="I14" s="6" t="s">
        <v>37</v>
      </c>
      <c r="J14" s="7"/>
      <c r="K14" s="8" t="b">
        <f aca="false">COUNTIF(exercicio_equipamento!$A$2:$A$400,A14)&gt;0</f>
        <v>1</v>
      </c>
      <c r="L14" s="9" t="n">
        <f aca="false">COUNTIF(exercicio_alternativo!$A$2:$A$400,A14)</f>
        <v>3</v>
      </c>
    </row>
    <row r="15" customFormat="false" ht="35.05" hidden="false" customHeight="false" outlineLevel="0" collapsed="false">
      <c r="A15" s="6" t="n">
        <v>14</v>
      </c>
      <c r="B15" s="7" t="s">
        <v>93</v>
      </c>
      <c r="C15" s="6" t="s">
        <v>94</v>
      </c>
      <c r="D15" s="7" t="s">
        <v>95</v>
      </c>
      <c r="E15" s="6" t="n">
        <v>1</v>
      </c>
      <c r="F15" s="6" t="n">
        <v>3</v>
      </c>
      <c r="G15" s="7" t="s">
        <v>96</v>
      </c>
      <c r="H15" s="6" t="s">
        <v>97</v>
      </c>
      <c r="I15" s="6" t="s">
        <v>37</v>
      </c>
      <c r="J15" s="7"/>
      <c r="K15" s="8" t="b">
        <f aca="false">COUNTIF(exercicio_equipamento!$A$2:$A$400,A15)&gt;0</f>
        <v>1</v>
      </c>
      <c r="L15" s="9" t="n">
        <f aca="false">COUNTIF(exercicio_alternativo!$A$2:$A$400,A15)</f>
        <v>3</v>
      </c>
    </row>
    <row r="16" customFormat="false" ht="35.05" hidden="false" customHeight="false" outlineLevel="0" collapsed="false">
      <c r="A16" s="6" t="n">
        <v>15</v>
      </c>
      <c r="B16" s="7" t="s">
        <v>98</v>
      </c>
      <c r="C16" s="6" t="s">
        <v>99</v>
      </c>
      <c r="D16" s="7" t="s">
        <v>100</v>
      </c>
      <c r="E16" s="6" t="n">
        <v>1</v>
      </c>
      <c r="F16" s="6" t="n">
        <v>3</v>
      </c>
      <c r="G16" s="7" t="s">
        <v>101</v>
      </c>
      <c r="H16" s="6"/>
      <c r="I16" s="6" t="s">
        <v>37</v>
      </c>
      <c r="J16" s="7"/>
      <c r="K16" s="8" t="b">
        <f aca="false">COUNTIF(exercicio_equipamento!$A$2:$A$400,A16)&gt;0</f>
        <v>0</v>
      </c>
      <c r="L16" s="9" t="n">
        <f aca="false">COUNTIF(exercicio_alternativo!$A$2:$A$400,A16)</f>
        <v>3</v>
      </c>
    </row>
    <row r="17" customFormat="false" ht="23.85" hidden="false" customHeight="false" outlineLevel="0" collapsed="false">
      <c r="A17" s="6" t="n">
        <v>16</v>
      </c>
      <c r="B17" s="7" t="s">
        <v>102</v>
      </c>
      <c r="C17" s="6" t="s">
        <v>103</v>
      </c>
      <c r="D17" s="7" t="s">
        <v>104</v>
      </c>
      <c r="E17" s="6" t="n">
        <v>1</v>
      </c>
      <c r="F17" s="6" t="n">
        <v>3</v>
      </c>
      <c r="G17" s="7" t="s">
        <v>105</v>
      </c>
      <c r="H17" s="6"/>
      <c r="I17" s="6" t="s">
        <v>37</v>
      </c>
      <c r="J17" s="7"/>
      <c r="K17" s="8" t="b">
        <f aca="false">COUNTIF(exercicio_equipamento!$A$2:$A$400,A17)&gt;0</f>
        <v>0</v>
      </c>
      <c r="L17" s="9" t="n">
        <f aca="false">COUNTIF(exercicio_alternativo!$A$2:$A$400,A17)</f>
        <v>3</v>
      </c>
    </row>
    <row r="18" customFormat="false" ht="35.05" hidden="false" customHeight="false" outlineLevel="0" collapsed="false">
      <c r="A18" s="6" t="n">
        <v>17</v>
      </c>
      <c r="B18" s="7" t="s">
        <v>106</v>
      </c>
      <c r="C18" s="6" t="s">
        <v>107</v>
      </c>
      <c r="D18" s="7" t="s">
        <v>108</v>
      </c>
      <c r="E18" s="6" t="n">
        <v>2</v>
      </c>
      <c r="F18" s="6" t="n">
        <v>4</v>
      </c>
      <c r="G18" s="7" t="s">
        <v>109</v>
      </c>
      <c r="H18" s="6" t="s">
        <v>110</v>
      </c>
      <c r="I18" s="6" t="s">
        <v>37</v>
      </c>
      <c r="J18" s="7"/>
      <c r="K18" s="8" t="b">
        <f aca="false">COUNTIF(exercicio_equipamento!$A$2:$A$400,A18)&gt;0</f>
        <v>1</v>
      </c>
      <c r="L18" s="9" t="n">
        <f aca="false">COUNTIF(exercicio_alternativo!$A$2:$A$400,A18)</f>
        <v>4</v>
      </c>
    </row>
    <row r="19" customFormat="false" ht="35.05" hidden="false" customHeight="false" outlineLevel="0" collapsed="false">
      <c r="A19" s="6" t="n">
        <v>18</v>
      </c>
      <c r="B19" s="7" t="s">
        <v>111</v>
      </c>
      <c r="C19" s="6" t="s">
        <v>112</v>
      </c>
      <c r="D19" s="7" t="s">
        <v>113</v>
      </c>
      <c r="E19" s="6" t="n">
        <v>1</v>
      </c>
      <c r="F19" s="6" t="n">
        <v>5</v>
      </c>
      <c r="G19" s="7" t="s">
        <v>114</v>
      </c>
      <c r="H19" s="6" t="s">
        <v>115</v>
      </c>
      <c r="I19" s="6" t="s">
        <v>37</v>
      </c>
      <c r="J19" s="7"/>
      <c r="K19" s="8" t="b">
        <f aca="false">COUNTIF(exercicio_equipamento!$A$2:$A$400,A19)&gt;0</f>
        <v>1</v>
      </c>
      <c r="L19" s="9" t="n">
        <f aca="false">COUNTIF(exercicio_alternativo!$A$2:$A$400,A19)</f>
        <v>4</v>
      </c>
    </row>
    <row r="20" customFormat="false" ht="35.05" hidden="false" customHeight="false" outlineLevel="0" collapsed="false">
      <c r="A20" s="6" t="n">
        <v>19</v>
      </c>
      <c r="B20" s="7" t="s">
        <v>116</v>
      </c>
      <c r="C20" s="6" t="s">
        <v>117</v>
      </c>
      <c r="D20" s="7" t="s">
        <v>118</v>
      </c>
      <c r="E20" s="6" t="n">
        <v>2</v>
      </c>
      <c r="F20" s="6" t="n">
        <v>5</v>
      </c>
      <c r="G20" s="7" t="s">
        <v>119</v>
      </c>
      <c r="H20" s="6" t="s">
        <v>115</v>
      </c>
      <c r="I20" s="6" t="s">
        <v>37</v>
      </c>
      <c r="J20" s="7" t="s">
        <v>120</v>
      </c>
      <c r="K20" s="8" t="b">
        <f aca="false">COUNTIF(exercicio_equipamento!$A$2:$A$400,A20)&gt;0</f>
        <v>1</v>
      </c>
      <c r="L20" s="9" t="n">
        <f aca="false">COUNTIF(exercicio_alternativo!$A$2:$A$400,A20)</f>
        <v>4</v>
      </c>
    </row>
    <row r="21" customFormat="false" ht="23.85" hidden="false" customHeight="false" outlineLevel="0" collapsed="false">
      <c r="A21" s="6" t="n">
        <v>20</v>
      </c>
      <c r="B21" s="7" t="s">
        <v>121</v>
      </c>
      <c r="C21" s="6" t="s">
        <v>122</v>
      </c>
      <c r="D21" s="7" t="s">
        <v>123</v>
      </c>
      <c r="E21" s="6" t="n">
        <v>2</v>
      </c>
      <c r="F21" s="6" t="n">
        <v>4</v>
      </c>
      <c r="G21" s="7" t="s">
        <v>124</v>
      </c>
      <c r="H21" s="6"/>
      <c r="I21" s="6" t="s">
        <v>37</v>
      </c>
      <c r="J21" s="7"/>
      <c r="K21" s="8" t="b">
        <f aca="false">COUNTIF(exercicio_equipamento!$A$2:$A$400,A21)&gt;0</f>
        <v>1</v>
      </c>
      <c r="L21" s="9" t="n">
        <f aca="false">COUNTIF(exercicio_alternativo!$A$2:$A$400,A21)</f>
        <v>3</v>
      </c>
    </row>
    <row r="22" customFormat="false" ht="23.85" hidden="false" customHeight="false" outlineLevel="0" collapsed="false">
      <c r="A22" s="6" t="n">
        <v>21</v>
      </c>
      <c r="B22" s="7" t="s">
        <v>125</v>
      </c>
      <c r="C22" s="6" t="s">
        <v>126</v>
      </c>
      <c r="D22" s="7" t="s">
        <v>127</v>
      </c>
      <c r="E22" s="6" t="n">
        <v>1</v>
      </c>
      <c r="F22" s="6" t="n">
        <v>5</v>
      </c>
      <c r="G22" s="7" t="s">
        <v>128</v>
      </c>
      <c r="H22" s="6"/>
      <c r="I22" s="6" t="s">
        <v>37</v>
      </c>
      <c r="J22" s="7" t="s">
        <v>129</v>
      </c>
      <c r="K22" s="8" t="b">
        <f aca="false">COUNTIF(exercicio_equipamento!$A$2:$A$400,A22)&gt;0</f>
        <v>1</v>
      </c>
      <c r="L22" s="9" t="n">
        <f aca="false">COUNTIF(exercicio_alternativo!$A$2:$A$400,A22)</f>
        <v>3</v>
      </c>
    </row>
    <row r="23" customFormat="false" ht="23.85" hidden="false" customHeight="false" outlineLevel="0" collapsed="false">
      <c r="A23" s="6" t="n">
        <v>22</v>
      </c>
      <c r="B23" s="7" t="s">
        <v>130</v>
      </c>
      <c r="C23" s="6" t="s">
        <v>131</v>
      </c>
      <c r="D23" s="7" t="s">
        <v>132</v>
      </c>
      <c r="E23" s="6" t="n">
        <v>3</v>
      </c>
      <c r="F23" s="6" t="n">
        <v>4</v>
      </c>
      <c r="G23" s="7" t="s">
        <v>133</v>
      </c>
      <c r="H23" s="6"/>
      <c r="I23" s="6" t="s">
        <v>37</v>
      </c>
      <c r="J23" s="7" t="s">
        <v>134</v>
      </c>
      <c r="K23" s="8" t="b">
        <f aca="false">COUNTIF(exercicio_equipamento!$A$2:$A$400,A23)&gt;0</f>
        <v>1</v>
      </c>
      <c r="L23" s="9" t="n">
        <f aca="false">COUNTIF(exercicio_alternativo!$A$2:$A$400,A23)</f>
        <v>3</v>
      </c>
    </row>
    <row r="24" customFormat="false" ht="35.05" hidden="false" customHeight="false" outlineLevel="0" collapsed="false">
      <c r="A24" s="6" t="n">
        <v>23</v>
      </c>
      <c r="B24" s="7" t="s">
        <v>135</v>
      </c>
      <c r="C24" s="6" t="s">
        <v>136</v>
      </c>
      <c r="D24" s="7" t="s">
        <v>137</v>
      </c>
      <c r="E24" s="6" t="n">
        <v>1</v>
      </c>
      <c r="F24" s="6" t="n">
        <v>6</v>
      </c>
      <c r="G24" s="7" t="s">
        <v>138</v>
      </c>
      <c r="H24" s="6"/>
      <c r="I24" s="6" t="s">
        <v>37</v>
      </c>
      <c r="J24" s="7"/>
      <c r="K24" s="8" t="b">
        <f aca="false">COUNTIF(exercicio_equipamento!$A$2:$A$400,A24)&gt;0</f>
        <v>1</v>
      </c>
      <c r="L24" s="9" t="n">
        <f aca="false">COUNTIF(exercicio_alternativo!$A$2:$A$400,A24)</f>
        <v>3</v>
      </c>
    </row>
    <row r="25" customFormat="false" ht="35.05" hidden="false" customHeight="false" outlineLevel="0" collapsed="false">
      <c r="A25" s="6" t="n">
        <v>24</v>
      </c>
      <c r="B25" s="7" t="s">
        <v>139</v>
      </c>
      <c r="C25" s="6" t="s">
        <v>140</v>
      </c>
      <c r="D25" s="7" t="s">
        <v>141</v>
      </c>
      <c r="E25" s="6" t="n">
        <v>1</v>
      </c>
      <c r="F25" s="6" t="n">
        <v>6</v>
      </c>
      <c r="G25" s="7" t="s">
        <v>142</v>
      </c>
      <c r="H25" s="6"/>
      <c r="I25" s="6" t="s">
        <v>37</v>
      </c>
      <c r="J25" s="7"/>
      <c r="K25" s="8" t="b">
        <f aca="false">COUNTIF(exercicio_equipamento!$A$2:$A$400,A25)&gt;0</f>
        <v>1</v>
      </c>
      <c r="L25" s="9" t="n">
        <f aca="false">COUNTIF(exercicio_alternativo!$A$2:$A$400,A25)</f>
        <v>3</v>
      </c>
    </row>
    <row r="26" customFormat="false" ht="35.05" hidden="false" customHeight="false" outlineLevel="0" collapsed="false">
      <c r="A26" s="6" t="n">
        <v>25</v>
      </c>
      <c r="B26" s="7" t="s">
        <v>143</v>
      </c>
      <c r="C26" s="6" t="s">
        <v>144</v>
      </c>
      <c r="D26" s="7" t="s">
        <v>145</v>
      </c>
      <c r="E26" s="6" t="n">
        <v>1</v>
      </c>
      <c r="F26" s="6" t="n">
        <v>6</v>
      </c>
      <c r="G26" s="7" t="s">
        <v>146</v>
      </c>
      <c r="H26" s="6"/>
      <c r="I26" s="6" t="s">
        <v>37</v>
      </c>
      <c r="J26" s="7"/>
      <c r="K26" s="8" t="b">
        <f aca="false">COUNTIF(exercicio_equipamento!$A$2:$A$400,A26)&gt;0</f>
        <v>0</v>
      </c>
      <c r="L26" s="9" t="n">
        <f aca="false">COUNTIF(exercicio_alternativo!$A$2:$A$400,A26)</f>
        <v>3</v>
      </c>
    </row>
    <row r="27" customFormat="false" ht="23.85" hidden="false" customHeight="false" outlineLevel="0" collapsed="false">
      <c r="A27" s="6" t="n">
        <v>26</v>
      </c>
      <c r="B27" s="7" t="s">
        <v>147</v>
      </c>
      <c r="C27" s="6" t="s">
        <v>148</v>
      </c>
      <c r="D27" s="7" t="s">
        <v>149</v>
      </c>
      <c r="E27" s="6" t="n">
        <v>2</v>
      </c>
      <c r="F27" s="6" t="n">
        <v>6</v>
      </c>
      <c r="G27" s="7" t="s">
        <v>150</v>
      </c>
      <c r="H27" s="6"/>
      <c r="I27" s="6" t="s">
        <v>37</v>
      </c>
      <c r="J27" s="7"/>
      <c r="K27" s="8" t="b">
        <f aca="false">COUNTIF(exercicio_equipamento!$A$2:$A$400,A27)&gt;0</f>
        <v>0</v>
      </c>
      <c r="L27" s="9" t="n">
        <f aca="false">COUNTIF(exercicio_alternativo!$A$2:$A$400,A27)</f>
        <v>3</v>
      </c>
    </row>
    <row r="28" customFormat="false" ht="35.05" hidden="false" customHeight="false" outlineLevel="0" collapsed="false">
      <c r="A28" s="6" t="n">
        <v>27</v>
      </c>
      <c r="B28" s="7" t="s">
        <v>151</v>
      </c>
      <c r="C28" s="6" t="s">
        <v>152</v>
      </c>
      <c r="D28" s="7" t="s">
        <v>153</v>
      </c>
      <c r="E28" s="6" t="n">
        <v>2</v>
      </c>
      <c r="F28" s="6" t="n">
        <v>18</v>
      </c>
      <c r="G28" s="7" t="s">
        <v>154</v>
      </c>
      <c r="H28" s="6"/>
      <c r="I28" s="6" t="s">
        <v>37</v>
      </c>
      <c r="J28" s="7"/>
      <c r="K28" s="8" t="b">
        <f aca="false">COUNTIF(exercicio_equipamento!$A$2:$A$400,A28)&gt;0</f>
        <v>1</v>
      </c>
      <c r="L28" s="9" t="n">
        <f aca="false">COUNTIF(exercicio_alternativo!$A$2:$A$400,A28)</f>
        <v>3</v>
      </c>
    </row>
    <row r="29" customFormat="false" ht="23.85" hidden="false" customHeight="false" outlineLevel="0" collapsed="false">
      <c r="A29" s="6" t="n">
        <v>28</v>
      </c>
      <c r="B29" s="7" t="s">
        <v>155</v>
      </c>
      <c r="C29" s="6" t="s">
        <v>155</v>
      </c>
      <c r="D29" s="7" t="s">
        <v>156</v>
      </c>
      <c r="E29" s="6" t="n">
        <v>3</v>
      </c>
      <c r="F29" s="6" t="n">
        <v>13</v>
      </c>
      <c r="G29" s="7" t="s">
        <v>157</v>
      </c>
      <c r="H29" s="6"/>
      <c r="I29" s="6" t="s">
        <v>37</v>
      </c>
      <c r="J29" s="7" t="s">
        <v>158</v>
      </c>
      <c r="K29" s="8" t="b">
        <f aca="false">COUNTIF(exercicio_equipamento!$A$2:$A$400,A29)&gt;0</f>
        <v>1</v>
      </c>
      <c r="L29" s="9" t="n">
        <f aca="false">COUNTIF(exercicio_alternativo!$A$2:$A$400,A29)</f>
        <v>3</v>
      </c>
    </row>
    <row r="30" customFormat="false" ht="35.05" hidden="false" customHeight="false" outlineLevel="0" collapsed="false">
      <c r="A30" s="6" t="n">
        <v>29</v>
      </c>
      <c r="B30" s="7" t="s">
        <v>159</v>
      </c>
      <c r="C30" s="6" t="s">
        <v>159</v>
      </c>
      <c r="D30" s="7" t="s">
        <v>160</v>
      </c>
      <c r="E30" s="6" t="n">
        <v>1</v>
      </c>
      <c r="F30" s="6" t="n">
        <v>18</v>
      </c>
      <c r="G30" s="7" t="s">
        <v>161</v>
      </c>
      <c r="H30" s="6"/>
      <c r="I30" s="6" t="s">
        <v>37</v>
      </c>
      <c r="J30" s="7"/>
      <c r="K30" s="8" t="b">
        <f aca="false">COUNTIF(exercicio_equipamento!$A$2:$A$400,A30)&gt;0</f>
        <v>0</v>
      </c>
      <c r="L30" s="9" t="n">
        <f aca="false">COUNTIF(exercicio_alternativo!$A$2:$A$400,A30)</f>
        <v>3</v>
      </c>
    </row>
    <row r="31" customFormat="false" ht="23.85" hidden="false" customHeight="false" outlineLevel="0" collapsed="false">
      <c r="A31" s="6" t="n">
        <v>30</v>
      </c>
      <c r="B31" s="7" t="s">
        <v>162</v>
      </c>
      <c r="C31" s="6" t="s">
        <v>163</v>
      </c>
      <c r="D31" s="7" t="s">
        <v>164</v>
      </c>
      <c r="E31" s="6" t="n">
        <v>1</v>
      </c>
      <c r="F31" s="6" t="n">
        <v>7</v>
      </c>
      <c r="G31" s="7" t="s">
        <v>165</v>
      </c>
      <c r="H31" s="6" t="s">
        <v>166</v>
      </c>
      <c r="I31" s="6" t="s">
        <v>37</v>
      </c>
      <c r="J31" s="7"/>
      <c r="K31" s="8" t="b">
        <f aca="false">COUNTIF(exercicio_equipamento!$A$2:$A$400,A31)&gt;0</f>
        <v>1</v>
      </c>
      <c r="L31" s="9" t="n">
        <f aca="false">COUNTIF(exercicio_alternativo!$A$2:$A$400,A31)</f>
        <v>4</v>
      </c>
    </row>
    <row r="32" customFormat="false" ht="23.85" hidden="false" customHeight="false" outlineLevel="0" collapsed="false">
      <c r="A32" s="6" t="n">
        <v>31</v>
      </c>
      <c r="B32" s="7" t="s">
        <v>167</v>
      </c>
      <c r="C32" s="6" t="s">
        <v>168</v>
      </c>
      <c r="D32" s="7" t="s">
        <v>169</v>
      </c>
      <c r="E32" s="6" t="n">
        <v>1</v>
      </c>
      <c r="F32" s="6" t="n">
        <v>7</v>
      </c>
      <c r="G32" s="7" t="s">
        <v>170</v>
      </c>
      <c r="H32" s="6" t="s">
        <v>171</v>
      </c>
      <c r="I32" s="6" t="s">
        <v>37</v>
      </c>
      <c r="J32" s="7" t="s">
        <v>172</v>
      </c>
      <c r="K32" s="8" t="b">
        <f aca="false">COUNTIF(exercicio_equipamento!$A$2:$A$400,A32)&gt;0</f>
        <v>1</v>
      </c>
      <c r="L32" s="9" t="n">
        <f aca="false">COUNTIF(exercicio_alternativo!$A$2:$A$400,A32)</f>
        <v>3</v>
      </c>
    </row>
    <row r="33" customFormat="false" ht="23.85" hidden="false" customHeight="false" outlineLevel="0" collapsed="false">
      <c r="A33" s="6" t="n">
        <v>32</v>
      </c>
      <c r="B33" s="7" t="s">
        <v>173</v>
      </c>
      <c r="C33" s="6" t="s">
        <v>174</v>
      </c>
      <c r="D33" s="7" t="s">
        <v>175</v>
      </c>
      <c r="E33" s="6" t="n">
        <v>1</v>
      </c>
      <c r="F33" s="6" t="n">
        <v>7</v>
      </c>
      <c r="G33" s="7" t="s">
        <v>176</v>
      </c>
      <c r="H33" s="6" t="s">
        <v>177</v>
      </c>
      <c r="I33" s="6" t="s">
        <v>37</v>
      </c>
      <c r="J33" s="7"/>
      <c r="K33" s="8" t="b">
        <f aca="false">COUNTIF(exercicio_equipamento!$A$2:$A$400,A33)&gt;0</f>
        <v>1</v>
      </c>
      <c r="L33" s="9" t="n">
        <f aca="false">COUNTIF(exercicio_alternativo!$A$2:$A$400,A33)</f>
        <v>3</v>
      </c>
    </row>
    <row r="34" customFormat="false" ht="23.85" hidden="false" customHeight="false" outlineLevel="0" collapsed="false">
      <c r="A34" s="6" t="n">
        <v>33</v>
      </c>
      <c r="B34" s="7" t="s">
        <v>178</v>
      </c>
      <c r="C34" s="6" t="s">
        <v>179</v>
      </c>
      <c r="D34" s="7" t="s">
        <v>180</v>
      </c>
      <c r="E34" s="6" t="n">
        <v>1</v>
      </c>
      <c r="F34" s="6" t="n">
        <v>7</v>
      </c>
      <c r="G34" s="7" t="s">
        <v>181</v>
      </c>
      <c r="H34" s="6"/>
      <c r="I34" s="6" t="s">
        <v>37</v>
      </c>
      <c r="J34" s="7"/>
      <c r="K34" s="8" t="b">
        <f aca="false">COUNTIF(exercicio_equipamento!$A$2:$A$400,A34)&gt;0</f>
        <v>1</v>
      </c>
      <c r="L34" s="9" t="n">
        <f aca="false">COUNTIF(exercicio_alternativo!$A$2:$A$400,A34)</f>
        <v>3</v>
      </c>
    </row>
    <row r="35" customFormat="false" ht="46.25" hidden="false" customHeight="false" outlineLevel="0" collapsed="false">
      <c r="A35" s="6" t="n">
        <v>34</v>
      </c>
      <c r="B35" s="7" t="s">
        <v>182</v>
      </c>
      <c r="C35" s="6" t="s">
        <v>183</v>
      </c>
      <c r="D35" s="7" t="s">
        <v>184</v>
      </c>
      <c r="E35" s="6" t="n">
        <v>1</v>
      </c>
      <c r="F35" s="6" t="n">
        <v>7</v>
      </c>
      <c r="G35" s="7" t="s">
        <v>185</v>
      </c>
      <c r="H35" s="6"/>
      <c r="I35" s="6" t="s">
        <v>37</v>
      </c>
      <c r="J35" s="7" t="s">
        <v>186</v>
      </c>
      <c r="K35" s="8" t="b">
        <f aca="false">COUNTIF(exercicio_equipamento!$A$2:$A$400,A35)&gt;0</f>
        <v>0</v>
      </c>
      <c r="L35" s="9" t="n">
        <f aca="false">COUNTIF(exercicio_alternativo!$A$2:$A$400,A35)</f>
        <v>3</v>
      </c>
    </row>
    <row r="36" customFormat="false" ht="23.85" hidden="false" customHeight="false" outlineLevel="0" collapsed="false">
      <c r="A36" s="6" t="n">
        <v>35</v>
      </c>
      <c r="B36" s="7" t="s">
        <v>187</v>
      </c>
      <c r="C36" s="6" t="s">
        <v>188</v>
      </c>
      <c r="D36" s="7" t="s">
        <v>189</v>
      </c>
      <c r="E36" s="6" t="n">
        <v>1</v>
      </c>
      <c r="F36" s="6" t="n">
        <v>8</v>
      </c>
      <c r="G36" s="7" t="s">
        <v>190</v>
      </c>
      <c r="H36" s="6" t="s">
        <v>191</v>
      </c>
      <c r="I36" s="6" t="s">
        <v>37</v>
      </c>
      <c r="J36" s="7"/>
      <c r="K36" s="8" t="b">
        <f aca="false">COUNTIF(exercicio_equipamento!$A$2:$A$400,A36)&gt;0</f>
        <v>1</v>
      </c>
      <c r="L36" s="9" t="n">
        <f aca="false">COUNTIF(exercicio_alternativo!$A$2:$A$400,A36)</f>
        <v>4</v>
      </c>
    </row>
    <row r="37" customFormat="false" ht="23.85" hidden="false" customHeight="false" outlineLevel="0" collapsed="false">
      <c r="A37" s="6" t="n">
        <v>36</v>
      </c>
      <c r="B37" s="7" t="s">
        <v>192</v>
      </c>
      <c r="C37" s="6" t="s">
        <v>193</v>
      </c>
      <c r="D37" s="7" t="s">
        <v>194</v>
      </c>
      <c r="E37" s="6" t="n">
        <v>2</v>
      </c>
      <c r="F37" s="6" t="n">
        <v>8</v>
      </c>
      <c r="G37" s="7" t="s">
        <v>195</v>
      </c>
      <c r="H37" s="6" t="s">
        <v>196</v>
      </c>
      <c r="I37" s="6" t="s">
        <v>37</v>
      </c>
      <c r="J37" s="7"/>
      <c r="K37" s="8" t="b">
        <f aca="false">COUNTIF(exercicio_equipamento!$A$2:$A$400,A37)&gt;0</f>
        <v>1</v>
      </c>
      <c r="L37" s="9" t="n">
        <f aca="false">COUNTIF(exercicio_alternativo!$A$2:$A$400,A37)</f>
        <v>3</v>
      </c>
    </row>
    <row r="38" customFormat="false" ht="23.85" hidden="false" customHeight="false" outlineLevel="0" collapsed="false">
      <c r="A38" s="6" t="n">
        <v>37</v>
      </c>
      <c r="B38" s="7" t="s">
        <v>197</v>
      </c>
      <c r="C38" s="6" t="s">
        <v>198</v>
      </c>
      <c r="D38" s="7" t="s">
        <v>199</v>
      </c>
      <c r="E38" s="6" t="n">
        <v>1</v>
      </c>
      <c r="F38" s="6" t="n">
        <v>8</v>
      </c>
      <c r="G38" s="7" t="s">
        <v>200</v>
      </c>
      <c r="H38" s="6" t="s">
        <v>201</v>
      </c>
      <c r="I38" s="6" t="s">
        <v>37</v>
      </c>
      <c r="J38" s="7"/>
      <c r="K38" s="8" t="b">
        <f aca="false">COUNTIF(exercicio_equipamento!$A$2:$A$400,A38)&gt;0</f>
        <v>1</v>
      </c>
      <c r="L38" s="9" t="n">
        <f aca="false">COUNTIF(exercicio_alternativo!$A$2:$A$400,A38)</f>
        <v>4</v>
      </c>
    </row>
    <row r="39" customFormat="false" ht="35.05" hidden="false" customHeight="false" outlineLevel="0" collapsed="false">
      <c r="A39" s="6" t="n">
        <v>38</v>
      </c>
      <c r="B39" s="7" t="s">
        <v>202</v>
      </c>
      <c r="C39" s="6" t="s">
        <v>203</v>
      </c>
      <c r="D39" s="7" t="s">
        <v>204</v>
      </c>
      <c r="E39" s="6" t="n">
        <v>1</v>
      </c>
      <c r="F39" s="6" t="n">
        <v>9</v>
      </c>
      <c r="G39" s="7" t="s">
        <v>205</v>
      </c>
      <c r="H39" s="6"/>
      <c r="I39" s="6" t="s">
        <v>37</v>
      </c>
      <c r="J39" s="7"/>
      <c r="K39" s="8" t="b">
        <f aca="false">COUNTIF(exercicio_equipamento!$A$2:$A$400,A39)&gt;0</f>
        <v>1</v>
      </c>
      <c r="L39" s="9" t="n">
        <f aca="false">COUNTIF(exercicio_alternativo!$A$2:$A$400,A39)</f>
        <v>3</v>
      </c>
    </row>
    <row r="40" customFormat="false" ht="23.85" hidden="false" customHeight="false" outlineLevel="0" collapsed="false">
      <c r="A40" s="6" t="n">
        <v>39</v>
      </c>
      <c r="B40" s="7" t="s">
        <v>206</v>
      </c>
      <c r="C40" s="6" t="s">
        <v>207</v>
      </c>
      <c r="D40" s="7" t="s">
        <v>208</v>
      </c>
      <c r="E40" s="6" t="n">
        <v>1</v>
      </c>
      <c r="F40" s="6" t="n">
        <v>9</v>
      </c>
      <c r="G40" s="7" t="s">
        <v>209</v>
      </c>
      <c r="H40" s="6"/>
      <c r="I40" s="6" t="s">
        <v>37</v>
      </c>
      <c r="J40" s="7"/>
      <c r="K40" s="8" t="b">
        <f aca="false">COUNTIF(exercicio_equipamento!$A$2:$A$400,A40)&gt;0</f>
        <v>1</v>
      </c>
      <c r="L40" s="9" t="n">
        <f aca="false">COUNTIF(exercicio_alternativo!$A$2:$A$400,A40)</f>
        <v>3</v>
      </c>
    </row>
    <row r="41" customFormat="false" ht="23.85" hidden="false" customHeight="false" outlineLevel="0" collapsed="false">
      <c r="A41" s="6" t="n">
        <v>40</v>
      </c>
      <c r="B41" s="7" t="s">
        <v>210</v>
      </c>
      <c r="C41" s="6" t="s">
        <v>211</v>
      </c>
      <c r="D41" s="7" t="s">
        <v>212</v>
      </c>
      <c r="E41" s="6" t="n">
        <v>1</v>
      </c>
      <c r="F41" s="6" t="n">
        <v>9</v>
      </c>
      <c r="G41" s="7" t="s">
        <v>213</v>
      </c>
      <c r="H41" s="6"/>
      <c r="I41" s="6" t="s">
        <v>37</v>
      </c>
      <c r="J41" s="7"/>
      <c r="K41" s="8" t="b">
        <f aca="false">COUNTIF(exercicio_equipamento!$A$2:$A$400,A41)&gt;0</f>
        <v>1</v>
      </c>
      <c r="L41" s="9" t="n">
        <f aca="false">COUNTIF(exercicio_alternativo!$A$2:$A$400,A41)</f>
        <v>3</v>
      </c>
    </row>
    <row r="42" customFormat="false" ht="35.05" hidden="false" customHeight="false" outlineLevel="0" collapsed="false">
      <c r="A42" s="6" t="n">
        <v>41</v>
      </c>
      <c r="B42" s="7" t="s">
        <v>214</v>
      </c>
      <c r="C42" s="6" t="s">
        <v>215</v>
      </c>
      <c r="D42" s="7" t="s">
        <v>216</v>
      </c>
      <c r="E42" s="6" t="n">
        <v>1</v>
      </c>
      <c r="F42" s="6" t="n">
        <v>9</v>
      </c>
      <c r="G42" s="7" t="s">
        <v>217</v>
      </c>
      <c r="H42" s="6"/>
      <c r="I42" s="6" t="s">
        <v>37</v>
      </c>
      <c r="J42" s="7"/>
      <c r="K42" s="8" t="b">
        <f aca="false">COUNTIF(exercicio_equipamento!$A$2:$A$400,A42)&gt;0</f>
        <v>1</v>
      </c>
      <c r="L42" s="9" t="n">
        <f aca="false">COUNTIF(exercicio_alternativo!$A$2:$A$400,A42)</f>
        <v>3</v>
      </c>
    </row>
    <row r="43" customFormat="false" ht="23.85" hidden="false" customHeight="false" outlineLevel="0" collapsed="false">
      <c r="A43" s="6" t="n">
        <v>42</v>
      </c>
      <c r="B43" s="7" t="s">
        <v>218</v>
      </c>
      <c r="C43" s="6" t="s">
        <v>219</v>
      </c>
      <c r="D43" s="7" t="s">
        <v>220</v>
      </c>
      <c r="E43" s="6" t="n">
        <v>1</v>
      </c>
      <c r="F43" s="6" t="n">
        <v>9</v>
      </c>
      <c r="G43" s="7" t="s">
        <v>221</v>
      </c>
      <c r="H43" s="6"/>
      <c r="I43" s="6" t="s">
        <v>37</v>
      </c>
      <c r="J43" s="7"/>
      <c r="K43" s="8" t="b">
        <f aca="false">COUNTIF(exercicio_equipamento!$A$2:$A$400,A43)&gt;0</f>
        <v>1</v>
      </c>
      <c r="L43" s="9" t="n">
        <f aca="false">COUNTIF(exercicio_alternativo!$A$2:$A$400,A43)</f>
        <v>3</v>
      </c>
    </row>
    <row r="44" customFormat="false" ht="23.85" hidden="false" customHeight="false" outlineLevel="0" collapsed="false">
      <c r="A44" s="6" t="n">
        <v>43</v>
      </c>
      <c r="B44" s="7" t="s">
        <v>222</v>
      </c>
      <c r="C44" s="6" t="s">
        <v>223</v>
      </c>
      <c r="D44" s="7" t="s">
        <v>224</v>
      </c>
      <c r="E44" s="6" t="n">
        <v>1</v>
      </c>
      <c r="F44" s="6" t="n">
        <v>11</v>
      </c>
      <c r="G44" s="7" t="s">
        <v>225</v>
      </c>
      <c r="H44" s="6" t="s">
        <v>226</v>
      </c>
      <c r="I44" s="6" t="s">
        <v>37</v>
      </c>
      <c r="J44" s="7"/>
      <c r="K44" s="8" t="b">
        <f aca="false">COUNTIF(exercicio_equipamento!$A$2:$A$400,A44)&gt;0</f>
        <v>1</v>
      </c>
      <c r="L44" s="9" t="n">
        <f aca="false">COUNTIF(exercicio_alternativo!$A$2:$A$400,A44)</f>
        <v>4</v>
      </c>
    </row>
    <row r="45" customFormat="false" ht="23.85" hidden="false" customHeight="false" outlineLevel="0" collapsed="false">
      <c r="A45" s="6" t="n">
        <v>44</v>
      </c>
      <c r="B45" s="7" t="s">
        <v>227</v>
      </c>
      <c r="C45" s="6" t="s">
        <v>227</v>
      </c>
      <c r="D45" s="7" t="s">
        <v>228</v>
      </c>
      <c r="E45" s="6" t="n">
        <v>2</v>
      </c>
      <c r="F45" s="6" t="n">
        <v>10</v>
      </c>
      <c r="G45" s="7" t="s">
        <v>229</v>
      </c>
      <c r="H45" s="6" t="s">
        <v>230</v>
      </c>
      <c r="I45" s="6" t="s">
        <v>37</v>
      </c>
      <c r="J45" s="7"/>
      <c r="K45" s="8" t="b">
        <f aca="false">COUNTIF(exercicio_equipamento!$A$2:$A$400,A45)&gt;0</f>
        <v>1</v>
      </c>
      <c r="L45" s="9" t="n">
        <f aca="false">COUNTIF(exercicio_alternativo!$A$2:$A$400,A45)</f>
        <v>4</v>
      </c>
    </row>
    <row r="46" customFormat="false" ht="23.85" hidden="false" customHeight="false" outlineLevel="0" collapsed="false">
      <c r="A46" s="6" t="n">
        <v>45</v>
      </c>
      <c r="B46" s="7" t="s">
        <v>231</v>
      </c>
      <c r="C46" s="6" t="s">
        <v>232</v>
      </c>
      <c r="D46" s="7" t="s">
        <v>233</v>
      </c>
      <c r="E46" s="6" t="n">
        <v>3</v>
      </c>
      <c r="F46" s="6" t="n">
        <v>10</v>
      </c>
      <c r="G46" s="7" t="s">
        <v>234</v>
      </c>
      <c r="H46" s="6" t="s">
        <v>235</v>
      </c>
      <c r="I46" s="6" t="s">
        <v>37</v>
      </c>
      <c r="J46" s="7"/>
      <c r="K46" s="8" t="b">
        <f aca="false">COUNTIF(exercicio_equipamento!$A$2:$A$400,A46)&gt;0</f>
        <v>1</v>
      </c>
      <c r="L46" s="9" t="n">
        <f aca="false">COUNTIF(exercicio_alternativo!$A$2:$A$400,A46)</f>
        <v>4</v>
      </c>
    </row>
    <row r="47" customFormat="false" ht="23.85" hidden="false" customHeight="false" outlineLevel="0" collapsed="false">
      <c r="A47" s="6" t="n">
        <v>46</v>
      </c>
      <c r="B47" s="7" t="s">
        <v>236</v>
      </c>
      <c r="C47" s="6" t="s">
        <v>237</v>
      </c>
      <c r="D47" s="7" t="s">
        <v>238</v>
      </c>
      <c r="E47" s="6" t="n">
        <v>1</v>
      </c>
      <c r="F47" s="6" t="n">
        <v>10</v>
      </c>
      <c r="G47" s="7" t="s">
        <v>239</v>
      </c>
      <c r="H47" s="6"/>
      <c r="I47" s="6" t="s">
        <v>37</v>
      </c>
      <c r="J47" s="7"/>
      <c r="K47" s="8" t="b">
        <f aca="false">COUNTIF(exercicio_equipamento!$A$2:$A$400,A47)&gt;0</f>
        <v>0</v>
      </c>
      <c r="L47" s="9" t="n">
        <f aca="false">COUNTIF(exercicio_alternativo!$A$2:$A$400,A47)</f>
        <v>3</v>
      </c>
    </row>
    <row r="48" customFormat="false" ht="23.85" hidden="false" customHeight="false" outlineLevel="0" collapsed="false">
      <c r="A48" s="6" t="n">
        <v>47</v>
      </c>
      <c r="B48" s="7" t="s">
        <v>240</v>
      </c>
      <c r="C48" s="6" t="s">
        <v>241</v>
      </c>
      <c r="D48" s="7" t="s">
        <v>242</v>
      </c>
      <c r="E48" s="6" t="n">
        <v>2</v>
      </c>
      <c r="F48" s="6" t="n">
        <v>10</v>
      </c>
      <c r="G48" s="7" t="s">
        <v>243</v>
      </c>
      <c r="H48" s="6"/>
      <c r="I48" s="6" t="s">
        <v>37</v>
      </c>
      <c r="J48" s="7"/>
      <c r="K48" s="8" t="b">
        <f aca="false">COUNTIF(exercicio_equipamento!$A$2:$A$400,A48)&gt;0</f>
        <v>0</v>
      </c>
      <c r="L48" s="9" t="n">
        <f aca="false">COUNTIF(exercicio_alternativo!$A$2:$A$400,A48)</f>
        <v>3</v>
      </c>
    </row>
    <row r="49" customFormat="false" ht="23.85" hidden="false" customHeight="false" outlineLevel="0" collapsed="false">
      <c r="A49" s="6" t="n">
        <v>48</v>
      </c>
      <c r="B49" s="7" t="s">
        <v>244</v>
      </c>
      <c r="C49" s="6" t="s">
        <v>245</v>
      </c>
      <c r="D49" s="7" t="s">
        <v>246</v>
      </c>
      <c r="E49" s="6" t="n">
        <v>3</v>
      </c>
      <c r="F49" s="6" t="n">
        <v>10</v>
      </c>
      <c r="G49" s="7" t="s">
        <v>247</v>
      </c>
      <c r="H49" s="6"/>
      <c r="I49" s="6" t="s">
        <v>37</v>
      </c>
      <c r="J49" s="7" t="s">
        <v>248</v>
      </c>
      <c r="K49" s="8" t="b">
        <f aca="false">COUNTIF(exercicio_equipamento!$A$2:$A$400,A49)&gt;0</f>
        <v>1</v>
      </c>
      <c r="L49" s="9" t="n">
        <f aca="false">COUNTIF(exercicio_alternativo!$A$2:$A$400,A49)</f>
        <v>3</v>
      </c>
    </row>
    <row r="50" customFormat="false" ht="23.85" hidden="false" customHeight="false" outlineLevel="0" collapsed="false">
      <c r="A50" s="6" t="n">
        <v>49</v>
      </c>
      <c r="B50" s="7" t="s">
        <v>249</v>
      </c>
      <c r="C50" s="6" t="s">
        <v>250</v>
      </c>
      <c r="D50" s="7" t="s">
        <v>251</v>
      </c>
      <c r="E50" s="6" t="n">
        <v>1</v>
      </c>
      <c r="F50" s="6" t="n">
        <v>12</v>
      </c>
      <c r="G50" s="7" t="s">
        <v>252</v>
      </c>
      <c r="H50" s="6" t="s">
        <v>253</v>
      </c>
      <c r="I50" s="6" t="s">
        <v>37</v>
      </c>
      <c r="J50" s="7"/>
      <c r="K50" s="8" t="b">
        <f aca="false">COUNTIF(exercicio_equipamento!$A$2:$A$400,A50)&gt;0</f>
        <v>1</v>
      </c>
      <c r="L50" s="9" t="n">
        <f aca="false">COUNTIF(exercicio_alternativo!$A$2:$A$400,A50)</f>
        <v>4</v>
      </c>
    </row>
    <row r="51" customFormat="false" ht="23.85" hidden="false" customHeight="false" outlineLevel="0" collapsed="false">
      <c r="A51" s="6" t="n">
        <v>50</v>
      </c>
      <c r="B51" s="7" t="s">
        <v>254</v>
      </c>
      <c r="C51" s="6" t="s">
        <v>255</v>
      </c>
      <c r="D51" s="7" t="s">
        <v>256</v>
      </c>
      <c r="E51" s="6" t="n">
        <v>3</v>
      </c>
      <c r="F51" s="6" t="n">
        <v>13</v>
      </c>
      <c r="G51" s="7" t="s">
        <v>257</v>
      </c>
      <c r="H51" s="6" t="s">
        <v>258</v>
      </c>
      <c r="I51" s="6" t="s">
        <v>37</v>
      </c>
      <c r="J51" s="7" t="s">
        <v>259</v>
      </c>
      <c r="K51" s="8" t="b">
        <f aca="false">COUNTIF(exercicio_equipamento!$A$2:$A$400,A51)&gt;0</f>
        <v>1</v>
      </c>
      <c r="L51" s="9" t="n">
        <f aca="false">COUNTIF(exercicio_alternativo!$A$2:$A$400,A51)</f>
        <v>4</v>
      </c>
    </row>
    <row r="52" customFormat="false" ht="35.05" hidden="false" customHeight="false" outlineLevel="0" collapsed="false">
      <c r="A52" s="6" t="n">
        <v>51</v>
      </c>
      <c r="B52" s="7" t="s">
        <v>260</v>
      </c>
      <c r="C52" s="6" t="s">
        <v>261</v>
      </c>
      <c r="D52" s="7" t="s">
        <v>262</v>
      </c>
      <c r="E52" s="6" t="n">
        <v>3</v>
      </c>
      <c r="F52" s="6" t="n">
        <v>13</v>
      </c>
      <c r="G52" s="7" t="s">
        <v>263</v>
      </c>
      <c r="H52" s="6"/>
      <c r="I52" s="6" t="s">
        <v>37</v>
      </c>
      <c r="J52" s="7"/>
      <c r="K52" s="8" t="b">
        <f aca="false">COUNTIF(exercicio_equipamento!$A$2:$A$400,A52)&gt;0</f>
        <v>0</v>
      </c>
      <c r="L52" s="9" t="n">
        <f aca="false">COUNTIF(exercicio_alternativo!$A$2:$A$400,A52)</f>
        <v>3</v>
      </c>
    </row>
    <row r="53" customFormat="false" ht="35.05" hidden="false" customHeight="false" outlineLevel="0" collapsed="false">
      <c r="A53" s="6" t="n">
        <v>52</v>
      </c>
      <c r="B53" s="7" t="s">
        <v>264</v>
      </c>
      <c r="C53" s="6" t="s">
        <v>265</v>
      </c>
      <c r="D53" s="7" t="s">
        <v>266</v>
      </c>
      <c r="E53" s="6" t="n">
        <v>3</v>
      </c>
      <c r="F53" s="6" t="n">
        <v>13</v>
      </c>
      <c r="G53" s="7" t="s">
        <v>267</v>
      </c>
      <c r="H53" s="6" t="s">
        <v>268</v>
      </c>
      <c r="I53" s="6" t="s">
        <v>37</v>
      </c>
      <c r="J53" s="7"/>
      <c r="K53" s="8" t="b">
        <f aca="false">COUNTIF(exercicio_equipamento!$A$2:$A$400,A53)&gt;0</f>
        <v>1</v>
      </c>
      <c r="L53" s="9" t="n">
        <f aca="false">COUNTIF(exercicio_alternativo!$A$2:$A$400,A53)</f>
        <v>4</v>
      </c>
    </row>
    <row r="54" customFormat="false" ht="23.85" hidden="false" customHeight="false" outlineLevel="0" collapsed="false">
      <c r="A54" s="6" t="n">
        <v>53</v>
      </c>
      <c r="B54" s="7" t="s">
        <v>269</v>
      </c>
      <c r="C54" s="6" t="s">
        <v>270</v>
      </c>
      <c r="D54" s="7" t="s">
        <v>271</v>
      </c>
      <c r="E54" s="6" t="n">
        <v>1</v>
      </c>
      <c r="F54" s="6" t="n">
        <v>14</v>
      </c>
      <c r="G54" s="7" t="s">
        <v>272</v>
      </c>
      <c r="H54" s="6"/>
      <c r="I54" s="6" t="s">
        <v>37</v>
      </c>
      <c r="J54" s="7"/>
      <c r="K54" s="8" t="b">
        <f aca="false">COUNTIF(exercicio_equipamento!$A$2:$A$400,A54)&gt;0</f>
        <v>0</v>
      </c>
      <c r="L54" s="9" t="n">
        <f aca="false">COUNTIF(exercicio_alternativo!$A$2:$A$400,A54)</f>
        <v>3</v>
      </c>
    </row>
    <row r="55" customFormat="false" ht="23.85" hidden="false" customHeight="false" outlineLevel="0" collapsed="false">
      <c r="A55" s="6" t="n">
        <v>54</v>
      </c>
      <c r="B55" s="7" t="s">
        <v>273</v>
      </c>
      <c r="C55" s="6" t="s">
        <v>274</v>
      </c>
      <c r="D55" s="7" t="s">
        <v>275</v>
      </c>
      <c r="E55" s="6" t="n">
        <v>2</v>
      </c>
      <c r="F55" s="6" t="n">
        <v>14</v>
      </c>
      <c r="G55" s="7" t="s">
        <v>276</v>
      </c>
      <c r="H55" s="6"/>
      <c r="I55" s="6" t="s">
        <v>37</v>
      </c>
      <c r="J55" s="7"/>
      <c r="K55" s="8" t="b">
        <f aca="false">COUNTIF(exercicio_equipamento!$A$2:$A$400,A55)&gt;0</f>
        <v>1</v>
      </c>
      <c r="L55" s="9" t="n">
        <f aca="false">COUNTIF(exercicio_alternativo!$A$2:$A$400,A55)</f>
        <v>3</v>
      </c>
    </row>
    <row r="56" customFormat="false" ht="35.05" hidden="false" customHeight="false" outlineLevel="0" collapsed="false">
      <c r="A56" s="6" t="n">
        <v>55</v>
      </c>
      <c r="B56" s="7" t="s">
        <v>277</v>
      </c>
      <c r="C56" s="6" t="s">
        <v>278</v>
      </c>
      <c r="D56" s="7" t="s">
        <v>279</v>
      </c>
      <c r="E56" s="6" t="n">
        <v>1</v>
      </c>
      <c r="F56" s="6" t="n">
        <v>15</v>
      </c>
      <c r="G56" s="7" t="s">
        <v>280</v>
      </c>
      <c r="H56" s="6"/>
      <c r="I56" s="6" t="s">
        <v>37</v>
      </c>
      <c r="J56" s="7"/>
      <c r="K56" s="8" t="b">
        <f aca="false">COUNTIF(exercicio_equipamento!$A$2:$A$400,A56)&gt;0</f>
        <v>0</v>
      </c>
      <c r="L56" s="9" t="n">
        <f aca="false">COUNTIF(exercicio_alternativo!$A$2:$A$400,A56)</f>
        <v>3</v>
      </c>
    </row>
    <row r="57" customFormat="false" ht="23.85" hidden="false" customHeight="false" outlineLevel="0" collapsed="false">
      <c r="A57" s="6" t="n">
        <v>56</v>
      </c>
      <c r="B57" s="7" t="s">
        <v>281</v>
      </c>
      <c r="C57" s="6" t="s">
        <v>282</v>
      </c>
      <c r="D57" s="7" t="s">
        <v>283</v>
      </c>
      <c r="E57" s="6" t="n">
        <v>2</v>
      </c>
      <c r="F57" s="6" t="n">
        <v>15</v>
      </c>
      <c r="G57" s="7" t="s">
        <v>284</v>
      </c>
      <c r="H57" s="6"/>
      <c r="I57" s="6" t="s">
        <v>37</v>
      </c>
      <c r="J57" s="7"/>
      <c r="K57" s="8" t="b">
        <f aca="false">COUNTIF(exercicio_equipamento!$A$2:$A$400,A57)&gt;0</f>
        <v>0</v>
      </c>
      <c r="L57" s="9" t="n">
        <f aca="false">COUNTIF(exercicio_alternativo!$A$2:$A$400,A57)</f>
        <v>3</v>
      </c>
    </row>
    <row r="58" customFormat="false" ht="35.05" hidden="false" customHeight="false" outlineLevel="0" collapsed="false">
      <c r="A58" s="6" t="n">
        <v>57</v>
      </c>
      <c r="B58" s="7" t="s">
        <v>285</v>
      </c>
      <c r="C58" s="6" t="s">
        <v>286</v>
      </c>
      <c r="D58" s="7" t="s">
        <v>287</v>
      </c>
      <c r="E58" s="6" t="n">
        <v>1</v>
      </c>
      <c r="F58" s="6" t="n">
        <v>15</v>
      </c>
      <c r="G58" s="7" t="s">
        <v>288</v>
      </c>
      <c r="H58" s="6"/>
      <c r="I58" s="6" t="s">
        <v>37</v>
      </c>
      <c r="J58" s="7" t="s">
        <v>289</v>
      </c>
      <c r="K58" s="8" t="b">
        <f aca="false">COUNTIF(exercicio_equipamento!$A$2:$A$400,A58)&gt;0</f>
        <v>1</v>
      </c>
      <c r="L58" s="9" t="n">
        <f aca="false">COUNTIF(exercicio_alternativo!$A$2:$A$400,A58)</f>
        <v>4</v>
      </c>
    </row>
    <row r="59" customFormat="false" ht="23.85" hidden="false" customHeight="false" outlineLevel="0" collapsed="false">
      <c r="A59" s="6" t="n">
        <v>58</v>
      </c>
      <c r="B59" s="7" t="s">
        <v>290</v>
      </c>
      <c r="C59" s="6" t="s">
        <v>291</v>
      </c>
      <c r="D59" s="7" t="s">
        <v>292</v>
      </c>
      <c r="E59" s="6" t="n">
        <v>2</v>
      </c>
      <c r="F59" s="6" t="n">
        <v>15</v>
      </c>
      <c r="G59" s="7" t="s">
        <v>293</v>
      </c>
      <c r="H59" s="6"/>
      <c r="I59" s="6" t="s">
        <v>37</v>
      </c>
      <c r="J59" s="7"/>
      <c r="K59" s="8" t="b">
        <f aca="false">COUNTIF(exercicio_equipamento!$A$2:$A$400,A59)&gt;0</f>
        <v>1</v>
      </c>
      <c r="L59" s="9" t="n">
        <f aca="false">COUNTIF(exercicio_alternativo!$A$2:$A$400,A59)</f>
        <v>3</v>
      </c>
    </row>
    <row r="60" customFormat="false" ht="23.85" hidden="false" customHeight="false" outlineLevel="0" collapsed="false">
      <c r="A60" s="6" t="n">
        <v>59</v>
      </c>
      <c r="B60" s="7" t="s">
        <v>294</v>
      </c>
      <c r="C60" s="6" t="s">
        <v>295</v>
      </c>
      <c r="D60" s="7" t="s">
        <v>296</v>
      </c>
      <c r="E60" s="6" t="n">
        <v>2</v>
      </c>
      <c r="F60" s="6" t="n">
        <v>17</v>
      </c>
      <c r="G60" s="7" t="s">
        <v>297</v>
      </c>
      <c r="H60" s="6"/>
      <c r="I60" s="6" t="s">
        <v>37</v>
      </c>
      <c r="J60" s="7"/>
      <c r="K60" s="8" t="b">
        <f aca="false">COUNTIF(exercicio_equipamento!$A$2:$A$400,A60)&gt;0</f>
        <v>0</v>
      </c>
      <c r="L60" s="9" t="n">
        <f aca="false">COUNTIF(exercicio_alternativo!$A$2:$A$400,A60)</f>
        <v>4</v>
      </c>
    </row>
    <row r="61" customFormat="false" ht="35.05" hidden="false" customHeight="false" outlineLevel="0" collapsed="false">
      <c r="A61" s="6" t="n">
        <v>60</v>
      </c>
      <c r="B61" s="7" t="s">
        <v>298</v>
      </c>
      <c r="C61" s="6" t="s">
        <v>299</v>
      </c>
      <c r="D61" s="7" t="s">
        <v>300</v>
      </c>
      <c r="E61" s="6" t="n">
        <v>1</v>
      </c>
      <c r="F61" s="6" t="n">
        <v>16</v>
      </c>
      <c r="G61" s="7" t="s">
        <v>301</v>
      </c>
      <c r="H61" s="6"/>
      <c r="I61" s="6" t="s">
        <v>37</v>
      </c>
      <c r="J61" s="7"/>
      <c r="K61" s="8" t="b">
        <f aca="false">COUNTIF(exercicio_equipamento!$A$2:$A$400,A61)&gt;0</f>
        <v>0</v>
      </c>
      <c r="L61" s="9" t="n">
        <f aca="false">COUNTIF(exercicio_alternativo!$A$2:$A$400,A61)</f>
        <v>4</v>
      </c>
    </row>
    <row r="62" customFormat="false" ht="23.85" hidden="false" customHeight="false" outlineLevel="0" collapsed="false">
      <c r="A62" s="6" t="n">
        <v>61</v>
      </c>
      <c r="B62" s="7" t="s">
        <v>302</v>
      </c>
      <c r="C62" s="6" t="s">
        <v>303</v>
      </c>
      <c r="D62" s="7" t="s">
        <v>304</v>
      </c>
      <c r="E62" s="6" t="n">
        <v>2</v>
      </c>
      <c r="F62" s="6" t="n">
        <v>16</v>
      </c>
      <c r="G62" s="7" t="s">
        <v>305</v>
      </c>
      <c r="H62" s="6"/>
      <c r="I62" s="6" t="s">
        <v>37</v>
      </c>
      <c r="J62" s="7"/>
      <c r="K62" s="8" t="b">
        <f aca="false">COUNTIF(exercicio_equipamento!$A$2:$A$400,A62)&gt;0</f>
        <v>0</v>
      </c>
      <c r="L62" s="9" t="n">
        <f aca="false">COUNTIF(exercicio_alternativo!$A$2:$A$400,A62)</f>
        <v>3</v>
      </c>
    </row>
    <row r="63" customFormat="false" ht="23.85" hidden="false" customHeight="false" outlineLevel="0" collapsed="false">
      <c r="A63" s="6" t="n">
        <v>62</v>
      </c>
      <c r="B63" s="7" t="s">
        <v>306</v>
      </c>
      <c r="C63" s="6" t="s">
        <v>307</v>
      </c>
      <c r="D63" s="7" t="s">
        <v>308</v>
      </c>
      <c r="E63" s="6" t="n">
        <v>3</v>
      </c>
      <c r="F63" s="6" t="n">
        <v>17</v>
      </c>
      <c r="G63" s="7" t="s">
        <v>309</v>
      </c>
      <c r="H63" s="6"/>
      <c r="I63" s="6" t="s">
        <v>37</v>
      </c>
      <c r="J63" s="7" t="s">
        <v>310</v>
      </c>
      <c r="K63" s="8" t="b">
        <f aca="false">COUNTIF(exercicio_equipamento!$A$2:$A$400,A63)&gt;0</f>
        <v>0</v>
      </c>
      <c r="L63" s="9" t="n">
        <f aca="false">COUNTIF(exercicio_alternativo!$A$2:$A$400,A63)</f>
        <v>3</v>
      </c>
    </row>
    <row r="64" customFormat="false" ht="35.05" hidden="false" customHeight="false" outlineLevel="0" collapsed="false">
      <c r="A64" s="6" t="n">
        <v>63</v>
      </c>
      <c r="B64" s="7" t="s">
        <v>311</v>
      </c>
      <c r="C64" s="6" t="s">
        <v>312</v>
      </c>
      <c r="D64" s="7" t="s">
        <v>313</v>
      </c>
      <c r="E64" s="6" t="n">
        <v>2</v>
      </c>
      <c r="F64" s="6" t="n">
        <v>16</v>
      </c>
      <c r="G64" s="7" t="s">
        <v>314</v>
      </c>
      <c r="H64" s="6"/>
      <c r="I64" s="6" t="s">
        <v>37</v>
      </c>
      <c r="J64" s="7"/>
      <c r="K64" s="8" t="b">
        <f aca="false">COUNTIF(exercicio_equipamento!$A$2:$A$400,A64)&gt;0</f>
        <v>1</v>
      </c>
      <c r="L64" s="9" t="n">
        <f aca="false">COUNTIF(exercicio_alternativo!$A$2:$A$400,A64)</f>
        <v>4</v>
      </c>
    </row>
    <row r="65" customFormat="false" ht="23.85" hidden="false" customHeight="false" outlineLevel="0" collapsed="false">
      <c r="A65" s="6" t="n">
        <v>64</v>
      </c>
      <c r="B65" s="7" t="s">
        <v>315</v>
      </c>
      <c r="C65" s="6" t="s">
        <v>316</v>
      </c>
      <c r="D65" s="7" t="s">
        <v>317</v>
      </c>
      <c r="E65" s="6" t="n">
        <v>2</v>
      </c>
      <c r="F65" s="6" t="n">
        <v>16</v>
      </c>
      <c r="G65" s="7" t="s">
        <v>318</v>
      </c>
      <c r="H65" s="6"/>
      <c r="I65" s="6" t="s">
        <v>37</v>
      </c>
      <c r="J65" s="7"/>
      <c r="K65" s="8" t="b">
        <f aca="false">COUNTIF(exercicio_equipamento!$A$2:$A$400,A65)&gt;0</f>
        <v>1</v>
      </c>
      <c r="L65" s="9" t="n">
        <f aca="false">COUNTIF(exercicio_alternativo!$A$2:$A$400,A65)</f>
        <v>3</v>
      </c>
    </row>
    <row r="66" customFormat="false" ht="23.85" hidden="false" customHeight="false" outlineLevel="0" collapsed="false">
      <c r="A66" s="6" t="n">
        <v>65</v>
      </c>
      <c r="B66" s="7" t="s">
        <v>319</v>
      </c>
      <c r="C66" s="6" t="s">
        <v>320</v>
      </c>
      <c r="D66" s="7" t="s">
        <v>321</v>
      </c>
      <c r="E66" s="6" t="n">
        <v>3</v>
      </c>
      <c r="F66" s="6" t="n">
        <v>17</v>
      </c>
      <c r="G66" s="7" t="s">
        <v>322</v>
      </c>
      <c r="H66" s="6"/>
      <c r="I66" s="6" t="s">
        <v>37</v>
      </c>
      <c r="J66" s="7"/>
      <c r="K66" s="8" t="b">
        <f aca="false">COUNTIF(exercicio_equipamento!$A$2:$A$400,A66)&gt;0</f>
        <v>1</v>
      </c>
      <c r="L66" s="9" t="n">
        <f aca="false">COUNTIF(exercicio_alternativo!$A$2:$A$400,A66)</f>
        <v>3</v>
      </c>
    </row>
    <row r="67" customFormat="false" ht="23.85" hidden="false" customHeight="false" outlineLevel="0" collapsed="false">
      <c r="A67" s="6" t="n">
        <v>66</v>
      </c>
      <c r="B67" s="7" t="s">
        <v>323</v>
      </c>
      <c r="C67" s="6" t="s">
        <v>324</v>
      </c>
      <c r="D67" s="7" t="s">
        <v>325</v>
      </c>
      <c r="E67" s="6" t="n">
        <v>3</v>
      </c>
      <c r="F67" s="6" t="n">
        <v>16</v>
      </c>
      <c r="G67" s="7" t="s">
        <v>326</v>
      </c>
      <c r="H67" s="6"/>
      <c r="I67" s="6" t="s">
        <v>37</v>
      </c>
      <c r="J67" s="7"/>
      <c r="K67" s="8" t="b">
        <f aca="false">COUNTIF(exercicio_equipamento!$A$2:$A$400,A67)&gt;0</f>
        <v>1</v>
      </c>
      <c r="L67" s="9" t="n">
        <f aca="false">COUNTIF(exercicio_alternativo!$A$2:$A$400,A67)</f>
        <v>3</v>
      </c>
    </row>
    <row r="68" customFormat="false" ht="23.85" hidden="false" customHeight="false" outlineLevel="0" collapsed="false">
      <c r="A68" s="6" t="n">
        <v>67</v>
      </c>
      <c r="B68" s="7" t="s">
        <v>327</v>
      </c>
      <c r="C68" s="6" t="s">
        <v>328</v>
      </c>
      <c r="D68" s="7" t="s">
        <v>329</v>
      </c>
      <c r="E68" s="6" t="n">
        <v>2</v>
      </c>
      <c r="F68" s="6" t="n">
        <v>1</v>
      </c>
      <c r="G68" s="7" t="s">
        <v>330</v>
      </c>
      <c r="H68" s="6"/>
      <c r="I68" s="6" t="s">
        <v>37</v>
      </c>
      <c r="J68" s="7"/>
      <c r="K68" s="8" t="b">
        <f aca="false">COUNTIF(exercicio_equipamento!$A$2:$A$400,A68)&gt;0</f>
        <v>1</v>
      </c>
      <c r="L68" s="9" t="n">
        <f aca="false">COUNTIF(exercicio_alternativo!$A$2:$A$400,A68)</f>
        <v>4</v>
      </c>
    </row>
    <row r="69" customFormat="false" ht="35.05" hidden="false" customHeight="false" outlineLevel="0" collapsed="false">
      <c r="A69" s="6" t="n">
        <v>68</v>
      </c>
      <c r="B69" s="7" t="s">
        <v>331</v>
      </c>
      <c r="C69" s="6" t="s">
        <v>332</v>
      </c>
      <c r="D69" s="7" t="s">
        <v>333</v>
      </c>
      <c r="E69" s="6" t="n">
        <v>2</v>
      </c>
      <c r="F69" s="6" t="n">
        <v>1</v>
      </c>
      <c r="G69" s="7" t="s">
        <v>334</v>
      </c>
      <c r="H69" s="6"/>
      <c r="I69" s="6" t="s">
        <v>37</v>
      </c>
      <c r="J69" s="7"/>
      <c r="K69" s="8" t="b">
        <f aca="false">COUNTIF(exercicio_equipamento!$A$2:$A$400,A69)&gt;0</f>
        <v>1</v>
      </c>
      <c r="L69" s="9" t="n">
        <f aca="false">COUNTIF(exercicio_alternativo!$A$2:$A$400,A69)</f>
        <v>3</v>
      </c>
    </row>
    <row r="70" customFormat="false" ht="23.85" hidden="false" customHeight="false" outlineLevel="0" collapsed="false">
      <c r="A70" s="6" t="n">
        <v>69</v>
      </c>
      <c r="B70" s="7" t="s">
        <v>335</v>
      </c>
      <c r="C70" s="6" t="s">
        <v>336</v>
      </c>
      <c r="D70" s="7" t="s">
        <v>337</v>
      </c>
      <c r="E70" s="6" t="n">
        <v>1</v>
      </c>
      <c r="F70" s="6" t="n">
        <v>1</v>
      </c>
      <c r="G70" s="7" t="s">
        <v>338</v>
      </c>
      <c r="H70" s="6"/>
      <c r="I70" s="6" t="s">
        <v>37</v>
      </c>
      <c r="J70" s="7"/>
      <c r="K70" s="8" t="b">
        <f aca="false">COUNTIF(exercicio_equipamento!$A$2:$A$400,A70)&gt;0</f>
        <v>1</v>
      </c>
      <c r="L70" s="9" t="n">
        <f aca="false">COUNTIF(exercicio_alternativo!$A$2:$A$400,A70)</f>
        <v>3</v>
      </c>
    </row>
    <row r="71" customFormat="false" ht="23.85" hidden="false" customHeight="false" outlineLevel="0" collapsed="false">
      <c r="A71" s="6" t="n">
        <v>70</v>
      </c>
      <c r="B71" s="7" t="s">
        <v>339</v>
      </c>
      <c r="C71" s="6" t="s">
        <v>340</v>
      </c>
      <c r="D71" s="7" t="s">
        <v>341</v>
      </c>
      <c r="E71" s="6" t="n">
        <v>1</v>
      </c>
      <c r="F71" s="6" t="n">
        <v>1</v>
      </c>
      <c r="G71" s="7" t="s">
        <v>342</v>
      </c>
      <c r="H71" s="6"/>
      <c r="I71" s="6" t="s">
        <v>37</v>
      </c>
      <c r="J71" s="7"/>
      <c r="K71" s="8" t="b">
        <f aca="false">COUNTIF(exercicio_equipamento!$A$2:$A$400,A71)&gt;0</f>
        <v>1</v>
      </c>
      <c r="L71" s="9" t="n">
        <f aca="false">COUNTIF(exercicio_alternativo!$A$2:$A$400,A71)</f>
        <v>3</v>
      </c>
    </row>
    <row r="72" customFormat="false" ht="23.85" hidden="false" customHeight="false" outlineLevel="0" collapsed="false">
      <c r="A72" s="6" t="n">
        <v>71</v>
      </c>
      <c r="B72" s="7" t="s">
        <v>343</v>
      </c>
      <c r="C72" s="6" t="s">
        <v>344</v>
      </c>
      <c r="D72" s="7" t="s">
        <v>345</v>
      </c>
      <c r="E72" s="6" t="n">
        <v>2</v>
      </c>
      <c r="F72" s="6" t="n">
        <v>3</v>
      </c>
      <c r="G72" s="7" t="s">
        <v>346</v>
      </c>
      <c r="H72" s="6"/>
      <c r="I72" s="6" t="s">
        <v>37</v>
      </c>
      <c r="J72" s="7"/>
      <c r="K72" s="8" t="b">
        <f aca="false">COUNTIF(exercicio_equipamento!$A$2:$A$400,A72)&gt;0</f>
        <v>1</v>
      </c>
      <c r="L72" s="9" t="n">
        <f aca="false">COUNTIF(exercicio_alternativo!$A$2:$A$400,A72)</f>
        <v>3</v>
      </c>
    </row>
    <row r="73" customFormat="false" ht="23.85" hidden="false" customHeight="false" outlineLevel="0" collapsed="false">
      <c r="A73" s="6" t="n">
        <v>72</v>
      </c>
      <c r="B73" s="7" t="s">
        <v>347</v>
      </c>
      <c r="C73" s="6" t="s">
        <v>348</v>
      </c>
      <c r="D73" s="7" t="s">
        <v>349</v>
      </c>
      <c r="E73" s="6" t="n">
        <v>2</v>
      </c>
      <c r="F73" s="6" t="n">
        <v>3</v>
      </c>
      <c r="G73" s="7" t="s">
        <v>350</v>
      </c>
      <c r="H73" s="6"/>
      <c r="I73" s="6" t="s">
        <v>37</v>
      </c>
      <c r="J73" s="7"/>
      <c r="K73" s="8" t="b">
        <f aca="false">COUNTIF(exercicio_equipamento!$A$2:$A$400,A73)&gt;0</f>
        <v>1</v>
      </c>
      <c r="L73" s="9" t="n">
        <f aca="false">COUNTIF(exercicio_alternativo!$A$2:$A$400,A73)</f>
        <v>3</v>
      </c>
    </row>
    <row r="74" customFormat="false" ht="35.05" hidden="false" customHeight="false" outlineLevel="0" collapsed="false">
      <c r="A74" s="6" t="n">
        <v>73</v>
      </c>
      <c r="B74" s="7" t="s">
        <v>351</v>
      </c>
      <c r="C74" s="6" t="s">
        <v>352</v>
      </c>
      <c r="D74" s="7" t="s">
        <v>353</v>
      </c>
      <c r="E74" s="6" t="n">
        <v>1</v>
      </c>
      <c r="F74" s="6" t="n">
        <v>3</v>
      </c>
      <c r="G74" s="7" t="s">
        <v>354</v>
      </c>
      <c r="H74" s="6"/>
      <c r="I74" s="6" t="s">
        <v>37</v>
      </c>
      <c r="J74" s="7"/>
      <c r="K74" s="8" t="b">
        <f aca="false">COUNTIF(exercicio_equipamento!$A$2:$A$400,A74)&gt;0</f>
        <v>1</v>
      </c>
      <c r="L74" s="9" t="n">
        <f aca="false">COUNTIF(exercicio_alternativo!$A$2:$A$400,A74)</f>
        <v>3</v>
      </c>
    </row>
    <row r="75" customFormat="false" ht="23.85" hidden="false" customHeight="false" outlineLevel="0" collapsed="false">
      <c r="A75" s="6" t="n">
        <v>74</v>
      </c>
      <c r="B75" s="7" t="s">
        <v>355</v>
      </c>
      <c r="C75" s="6" t="s">
        <v>356</v>
      </c>
      <c r="D75" s="7" t="s">
        <v>357</v>
      </c>
      <c r="E75" s="6" t="n">
        <v>1</v>
      </c>
      <c r="F75" s="6" t="n">
        <v>2</v>
      </c>
      <c r="G75" s="7" t="s">
        <v>358</v>
      </c>
      <c r="H75" s="6"/>
      <c r="I75" s="6" t="s">
        <v>37</v>
      </c>
      <c r="J75" s="7"/>
      <c r="K75" s="8" t="b">
        <f aca="false">COUNTIF(exercicio_equipamento!$A$2:$A$400,A75)&gt;0</f>
        <v>1</v>
      </c>
      <c r="L75" s="9" t="n">
        <f aca="false">COUNTIF(exercicio_alternativo!$A$2:$A$400,A75)</f>
        <v>3</v>
      </c>
    </row>
    <row r="76" customFormat="false" ht="23.85" hidden="false" customHeight="false" outlineLevel="0" collapsed="false">
      <c r="A76" s="6" t="n">
        <v>75</v>
      </c>
      <c r="B76" s="7" t="s">
        <v>359</v>
      </c>
      <c r="C76" s="6" t="s">
        <v>360</v>
      </c>
      <c r="D76" s="7" t="s">
        <v>361</v>
      </c>
      <c r="E76" s="6" t="n">
        <v>1</v>
      </c>
      <c r="F76" s="6" t="n">
        <v>19</v>
      </c>
      <c r="G76" s="7" t="s">
        <v>362</v>
      </c>
      <c r="H76" s="6"/>
      <c r="I76" s="6" t="s">
        <v>37</v>
      </c>
      <c r="J76" s="7"/>
      <c r="K76" s="8" t="b">
        <f aca="false">COUNTIF(exercicio_equipamento!$A$2:$A$400,A76)&gt;0</f>
        <v>1</v>
      </c>
      <c r="L76" s="9" t="n">
        <f aca="false">COUNTIF(exercicio_alternativo!$A$2:$A$400,A76)</f>
        <v>3</v>
      </c>
    </row>
    <row r="77" customFormat="false" ht="23.85" hidden="false" customHeight="false" outlineLevel="0" collapsed="false">
      <c r="A77" s="6" t="n">
        <v>76</v>
      </c>
      <c r="B77" s="7" t="s">
        <v>363</v>
      </c>
      <c r="C77" s="6" t="s">
        <v>364</v>
      </c>
      <c r="D77" s="7" t="s">
        <v>365</v>
      </c>
      <c r="E77" s="6" t="n">
        <v>1</v>
      </c>
      <c r="F77" s="6" t="n">
        <v>4</v>
      </c>
      <c r="G77" s="7" t="s">
        <v>366</v>
      </c>
      <c r="H77" s="6"/>
      <c r="I77" s="6" t="s">
        <v>37</v>
      </c>
      <c r="J77" s="7"/>
      <c r="K77" s="8" t="b">
        <f aca="false">COUNTIF(exercicio_equipamento!$A$2:$A$400,A77)&gt;0</f>
        <v>1</v>
      </c>
      <c r="L77" s="9" t="n">
        <f aca="false">COUNTIF(exercicio_alternativo!$A$2:$A$400,A77)</f>
        <v>3</v>
      </c>
    </row>
    <row r="78" customFormat="false" ht="23.85" hidden="false" customHeight="false" outlineLevel="0" collapsed="false">
      <c r="A78" s="6" t="n">
        <v>77</v>
      </c>
      <c r="B78" s="7" t="s">
        <v>367</v>
      </c>
      <c r="C78" s="6" t="s">
        <v>368</v>
      </c>
      <c r="D78" s="7" t="s">
        <v>369</v>
      </c>
      <c r="E78" s="6" t="n">
        <v>2</v>
      </c>
      <c r="F78" s="6" t="n">
        <v>5</v>
      </c>
      <c r="G78" s="7" t="s">
        <v>370</v>
      </c>
      <c r="H78" s="6"/>
      <c r="I78" s="6" t="s">
        <v>37</v>
      </c>
      <c r="J78" s="7"/>
      <c r="K78" s="8" t="b">
        <f aca="false">COUNTIF(exercicio_equipamento!$A$2:$A$400,A78)&gt;0</f>
        <v>1</v>
      </c>
      <c r="L78" s="9" t="n">
        <f aca="false">COUNTIF(exercicio_alternativo!$A$2:$A$400,A78)</f>
        <v>4</v>
      </c>
    </row>
    <row r="79" customFormat="false" ht="23.85" hidden="false" customHeight="false" outlineLevel="0" collapsed="false">
      <c r="A79" s="6" t="n">
        <v>78</v>
      </c>
      <c r="B79" s="7" t="s">
        <v>371</v>
      </c>
      <c r="C79" s="6" t="s">
        <v>372</v>
      </c>
      <c r="D79" s="7" t="s">
        <v>373</v>
      </c>
      <c r="E79" s="6" t="n">
        <v>1</v>
      </c>
      <c r="F79" s="6" t="n">
        <v>7</v>
      </c>
      <c r="G79" s="7" t="s">
        <v>374</v>
      </c>
      <c r="H79" s="6"/>
      <c r="I79" s="6" t="s">
        <v>37</v>
      </c>
      <c r="J79" s="7"/>
      <c r="K79" s="8" t="b">
        <f aca="false">COUNTIF(exercicio_equipamento!$A$2:$A$400,A79)&gt;0</f>
        <v>1</v>
      </c>
      <c r="L79" s="9" t="n">
        <f aca="false">COUNTIF(exercicio_alternativo!$A$2:$A$400,A79)</f>
        <v>3</v>
      </c>
    </row>
    <row r="80" customFormat="false" ht="23.85" hidden="false" customHeight="false" outlineLevel="0" collapsed="false">
      <c r="A80" s="6" t="n">
        <v>79</v>
      </c>
      <c r="B80" s="7" t="s">
        <v>375</v>
      </c>
      <c r="C80" s="6" t="s">
        <v>376</v>
      </c>
      <c r="D80" s="7" t="s">
        <v>377</v>
      </c>
      <c r="E80" s="6" t="n">
        <v>2</v>
      </c>
      <c r="F80" s="6" t="n">
        <v>7</v>
      </c>
      <c r="G80" s="7" t="s">
        <v>378</v>
      </c>
      <c r="H80" s="6"/>
      <c r="I80" s="6" t="s">
        <v>37</v>
      </c>
      <c r="J80" s="7" t="s">
        <v>379</v>
      </c>
      <c r="K80" s="8" t="b">
        <f aca="false">COUNTIF(exercicio_equipamento!$A$2:$A$400,A80)&gt;0</f>
        <v>1</v>
      </c>
      <c r="L80" s="9" t="n">
        <f aca="false">COUNTIF(exercicio_alternativo!$A$2:$A$400,A80)</f>
        <v>3</v>
      </c>
    </row>
    <row r="81" customFormat="false" ht="23.85" hidden="false" customHeight="false" outlineLevel="0" collapsed="false">
      <c r="A81" s="6" t="n">
        <v>80</v>
      </c>
      <c r="B81" s="7" t="s">
        <v>380</v>
      </c>
      <c r="C81" s="6" t="s">
        <v>381</v>
      </c>
      <c r="D81" s="7" t="s">
        <v>382</v>
      </c>
      <c r="E81" s="6" t="n">
        <v>2</v>
      </c>
      <c r="F81" s="6" t="n">
        <v>8</v>
      </c>
      <c r="G81" s="7" t="s">
        <v>383</v>
      </c>
      <c r="H81" s="6"/>
      <c r="I81" s="6" t="s">
        <v>37</v>
      </c>
      <c r="J81" s="7"/>
      <c r="K81" s="8" t="b">
        <f aca="false">COUNTIF(exercicio_equipamento!$A$2:$A$400,A81)&gt;0</f>
        <v>1</v>
      </c>
      <c r="L81" s="9" t="n">
        <f aca="false">COUNTIF(exercicio_alternativo!$A$2:$A$400,A81)</f>
        <v>3</v>
      </c>
    </row>
    <row r="82" customFormat="false" ht="23.85" hidden="false" customHeight="false" outlineLevel="0" collapsed="false">
      <c r="A82" s="6" t="n">
        <v>81</v>
      </c>
      <c r="B82" s="7" t="s">
        <v>384</v>
      </c>
      <c r="C82" s="6" t="s">
        <v>385</v>
      </c>
      <c r="D82" s="7" t="s">
        <v>386</v>
      </c>
      <c r="E82" s="6" t="n">
        <v>1</v>
      </c>
      <c r="F82" s="6" t="n">
        <v>10</v>
      </c>
      <c r="G82" s="7" t="s">
        <v>387</v>
      </c>
      <c r="H82" s="6"/>
      <c r="I82" s="6" t="s">
        <v>37</v>
      </c>
      <c r="J82" s="7"/>
      <c r="K82" s="8" t="b">
        <f aca="false">COUNTIF(exercicio_equipamento!$A$2:$A$400,A82)&gt;0</f>
        <v>1</v>
      </c>
      <c r="L82" s="9" t="n">
        <f aca="false">COUNTIF(exercicio_alternativo!$A$2:$A$400,A82)</f>
        <v>4</v>
      </c>
    </row>
    <row r="83" customFormat="false" ht="23.85" hidden="false" customHeight="false" outlineLevel="0" collapsed="false">
      <c r="A83" s="6" t="n">
        <v>82</v>
      </c>
      <c r="B83" s="7" t="s">
        <v>388</v>
      </c>
      <c r="C83" s="6" t="s">
        <v>389</v>
      </c>
      <c r="D83" s="7" t="s">
        <v>390</v>
      </c>
      <c r="E83" s="6" t="n">
        <v>2</v>
      </c>
      <c r="F83" s="6" t="n">
        <v>10</v>
      </c>
      <c r="G83" s="7" t="s">
        <v>391</v>
      </c>
      <c r="H83" s="6"/>
      <c r="I83" s="6" t="s">
        <v>37</v>
      </c>
      <c r="J83" s="7"/>
      <c r="K83" s="8" t="b">
        <f aca="false">COUNTIF(exercicio_equipamento!$A$2:$A$400,A83)&gt;0</f>
        <v>1</v>
      </c>
      <c r="L83" s="9" t="n">
        <f aca="false">COUNTIF(exercicio_alternativo!$A$2:$A$400,A83)</f>
        <v>3</v>
      </c>
    </row>
    <row r="84" customFormat="false" ht="23.85" hidden="false" customHeight="false" outlineLevel="0" collapsed="false">
      <c r="A84" s="6" t="n">
        <v>83</v>
      </c>
      <c r="B84" s="7" t="s">
        <v>392</v>
      </c>
      <c r="C84" s="6" t="s">
        <v>393</v>
      </c>
      <c r="D84" s="7" t="s">
        <v>394</v>
      </c>
      <c r="E84" s="6" t="n">
        <v>1</v>
      </c>
      <c r="F84" s="6" t="n">
        <v>12</v>
      </c>
      <c r="G84" s="7" t="s">
        <v>395</v>
      </c>
      <c r="H84" s="6"/>
      <c r="I84" s="6" t="s">
        <v>37</v>
      </c>
      <c r="J84" s="7"/>
      <c r="K84" s="8" t="b">
        <f aca="false">COUNTIF(exercicio_equipamento!$A$2:$A$400,A84)&gt;0</f>
        <v>1</v>
      </c>
      <c r="L84" s="9" t="n">
        <f aca="false">COUNTIF(exercicio_alternativo!$A$2:$A$400,A84)</f>
        <v>3</v>
      </c>
    </row>
    <row r="85" customFormat="false" ht="23.85" hidden="false" customHeight="false" outlineLevel="0" collapsed="false">
      <c r="A85" s="6" t="n">
        <v>84</v>
      </c>
      <c r="B85" s="7" t="s">
        <v>396</v>
      </c>
      <c r="C85" s="6" t="s">
        <v>397</v>
      </c>
      <c r="D85" s="7" t="s">
        <v>398</v>
      </c>
      <c r="E85" s="6" t="n">
        <v>1</v>
      </c>
      <c r="F85" s="6" t="n">
        <v>15</v>
      </c>
      <c r="G85" s="7" t="s">
        <v>399</v>
      </c>
      <c r="H85" s="6"/>
      <c r="I85" s="6" t="s">
        <v>37</v>
      </c>
      <c r="J85" s="7"/>
      <c r="K85" s="8" t="b">
        <f aca="false">COUNTIF(exercicio_equipamento!$A$2:$A$400,A85)&gt;0</f>
        <v>1</v>
      </c>
      <c r="L85" s="9" t="n">
        <f aca="false">COUNTIF(exercicio_alternativo!$A$2:$A$400,A85)</f>
        <v>3</v>
      </c>
    </row>
    <row r="86" customFormat="false" ht="23.85" hidden="false" customHeight="false" outlineLevel="0" collapsed="false">
      <c r="A86" s="6" t="n">
        <v>85</v>
      </c>
      <c r="B86" s="7" t="s">
        <v>400</v>
      </c>
      <c r="C86" s="6" t="s">
        <v>401</v>
      </c>
      <c r="D86" s="7" t="s">
        <v>402</v>
      </c>
      <c r="E86" s="6" t="n">
        <v>1</v>
      </c>
      <c r="F86" s="6" t="n">
        <v>20</v>
      </c>
      <c r="G86" s="7" t="s">
        <v>403</v>
      </c>
      <c r="H86" s="6"/>
      <c r="I86" s="6" t="s">
        <v>37</v>
      </c>
      <c r="J86" s="7"/>
      <c r="K86" s="8" t="b">
        <f aca="false">COUNTIF(exercicio_equipamento!$A$2:$A$400,A86)&gt;0</f>
        <v>1</v>
      </c>
      <c r="L86" s="9" t="n">
        <f aca="false">COUNTIF(exercicio_alternativo!$A$2:$A$400,A86)</f>
        <v>2</v>
      </c>
    </row>
    <row r="87" customFormat="false" ht="23.85" hidden="false" customHeight="false" outlineLevel="0" collapsed="false">
      <c r="A87" s="6" t="n">
        <v>86</v>
      </c>
      <c r="B87" s="7" t="s">
        <v>404</v>
      </c>
      <c r="C87" s="6" t="s">
        <v>405</v>
      </c>
      <c r="D87" s="7" t="s">
        <v>406</v>
      </c>
      <c r="E87" s="6" t="n">
        <v>1</v>
      </c>
      <c r="F87" s="6" t="n">
        <v>20</v>
      </c>
      <c r="G87" s="7" t="s">
        <v>407</v>
      </c>
      <c r="H87" s="6"/>
      <c r="I87" s="6" t="s">
        <v>37</v>
      </c>
      <c r="J87" s="7"/>
      <c r="K87" s="8" t="b">
        <f aca="false">COUNTIF(exercicio_equipamento!$A$2:$A$400,A87)&gt;0</f>
        <v>1</v>
      </c>
      <c r="L87" s="9" t="n">
        <f aca="false">COUNTIF(exercicio_alternativo!$A$2:$A$400,A87)</f>
        <v>3</v>
      </c>
    </row>
    <row r="88" customFormat="false" ht="23.85" hidden="false" customHeight="false" outlineLevel="0" collapsed="false">
      <c r="A88" s="6" t="n">
        <v>87</v>
      </c>
      <c r="B88" s="7" t="s">
        <v>408</v>
      </c>
      <c r="C88" s="6" t="s">
        <v>409</v>
      </c>
      <c r="D88" s="7" t="s">
        <v>410</v>
      </c>
      <c r="E88" s="6" t="n">
        <v>1</v>
      </c>
      <c r="F88" s="6" t="n">
        <v>20</v>
      </c>
      <c r="G88" s="7" t="s">
        <v>411</v>
      </c>
      <c r="H88" s="6"/>
      <c r="I88" s="6" t="s">
        <v>37</v>
      </c>
      <c r="J88" s="7" t="s">
        <v>412</v>
      </c>
      <c r="K88" s="8" t="b">
        <f aca="false">COUNTIF(exercicio_equipamento!$A$2:$A$400,A88)&gt;0</f>
        <v>0</v>
      </c>
      <c r="L88" s="9" t="n">
        <f aca="false">COUNTIF(exercicio_alternativo!$A$2:$A$400,A88)</f>
        <v>2</v>
      </c>
    </row>
    <row r="89" customFormat="false" ht="23.85" hidden="false" customHeight="false" outlineLevel="0" collapsed="false">
      <c r="A89" s="6" t="n">
        <v>88</v>
      </c>
      <c r="B89" s="7" t="s">
        <v>413</v>
      </c>
      <c r="C89" s="6" t="s">
        <v>414</v>
      </c>
      <c r="D89" s="7" t="s">
        <v>415</v>
      </c>
      <c r="E89" s="6" t="n">
        <v>1</v>
      </c>
      <c r="F89" s="6" t="n">
        <v>20</v>
      </c>
      <c r="G89" s="7" t="s">
        <v>416</v>
      </c>
      <c r="H89" s="6"/>
      <c r="I89" s="6" t="s">
        <v>37</v>
      </c>
      <c r="J89" s="7" t="s">
        <v>417</v>
      </c>
      <c r="K89" s="8" t="b">
        <f aca="false">COUNTIF(exercicio_equipamento!$A$2:$A$400,A89)&gt;0</f>
        <v>0</v>
      </c>
      <c r="L89" s="9" t="n">
        <f aca="false">COUNTIF(exercicio_alternativo!$A$2:$A$400,A89)</f>
        <v>2</v>
      </c>
    </row>
    <row r="90" customFormat="false" ht="23.85" hidden="false" customHeight="false" outlineLevel="0" collapsed="false">
      <c r="A90" s="6" t="n">
        <v>89</v>
      </c>
      <c r="B90" s="7" t="s">
        <v>418</v>
      </c>
      <c r="C90" s="6" t="s">
        <v>419</v>
      </c>
      <c r="D90" s="7" t="s">
        <v>420</v>
      </c>
      <c r="E90" s="6" t="n">
        <v>2</v>
      </c>
      <c r="F90" s="6" t="n">
        <v>10</v>
      </c>
      <c r="G90" s="7" t="s">
        <v>421</v>
      </c>
      <c r="H90" s="6"/>
      <c r="I90" s="6" t="s">
        <v>37</v>
      </c>
      <c r="J90" s="7"/>
      <c r="K90" s="8" t="b">
        <f aca="false">COUNTIF(exercicio_equipamento!$A$2:$A$400,A90)&gt;0</f>
        <v>0</v>
      </c>
      <c r="L90" s="9" t="n">
        <f aca="false">COUNTIF(exercicio_alternativo!$A$2:$A$400,A90)</f>
        <v>4</v>
      </c>
    </row>
  </sheetData>
  <autoFilter ref="A1:L90"/>
  <dataValidations count="3">
    <dataValidation allowBlank="false" errorStyle="stop" operator="between" showDropDown="false" showErrorMessage="false" showInputMessage="false" sqref="E2:E190" type="list">
      <formula1>"1,2,3"</formula1>
      <formula2>0</formula2>
    </dataValidation>
    <dataValidation allowBlank="false" errorStyle="stop" operator="between" showDropDown="false" showErrorMessage="false" showInputMessage="false" sqref="F2:F190" type="list">
      <formula1>padrao_movimento!$A$2:$A$21</formula1>
      <formula2>0</formula2>
    </dataValidation>
    <dataValidation allowBlank="false" errorStyle="stop" operator="between" showDropDown="false" showErrorMessage="false" showInputMessage="false" sqref="I2:I190" type="list">
      <formula1>"Com fonte,Sem fonte - dado do Lucas,Sem fonte específica (revisar)"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G2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55"/>
    <col collapsed="false" customWidth="true" hidden="false" outlineLevel="0" max="6" min="5" style="0" width="38"/>
    <col collapsed="false" customWidth="true" hidden="false" outlineLevel="0" max="7" min="7" style="0" width="16"/>
  </cols>
  <sheetData>
    <row r="1" customFormat="false" ht="31.5" hidden="false" customHeight="true" outlineLevel="0" collapsed="false">
      <c r="A1" s="4" t="s">
        <v>422</v>
      </c>
      <c r="B1" s="4" t="s">
        <v>423</v>
      </c>
      <c r="C1" s="4" t="s">
        <v>424</v>
      </c>
      <c r="D1" s="4" t="s">
        <v>30</v>
      </c>
      <c r="E1" s="5" t="s">
        <v>425</v>
      </c>
      <c r="F1" s="5" t="s">
        <v>426</v>
      </c>
      <c r="G1" s="5" t="s">
        <v>427</v>
      </c>
    </row>
    <row r="2" customFormat="false" ht="15" hidden="false" customHeight="false" outlineLevel="0" collapsed="false">
      <c r="A2" s="6" t="n">
        <v>1</v>
      </c>
      <c r="B2" s="6" t="n">
        <v>4</v>
      </c>
      <c r="C2" s="6" t="n">
        <v>1</v>
      </c>
      <c r="D2" s="7"/>
      <c r="E2" s="9" t="str">
        <f aca="false">IFERROR(INDEX(exercicio!$B$2:$B$190,MATCH(A2,exercicio!$A$2:$A$190,0)),"")</f>
        <v>Supino Reto com Barra</v>
      </c>
      <c r="F2" s="9" t="str">
        <f aca="false">IFERROR(INDEX(exercicio!$B$2:$B$190,MATCH(B2,exercicio!$A$2:$A$190,0)),"")</f>
        <v>Flexão de Braço</v>
      </c>
      <c r="G2" s="8" t="b">
        <f aca="false">COUNTIF(exercicio_equipamento!$A$2:$A$400,B2)=0</f>
        <v>1</v>
      </c>
    </row>
    <row r="3" customFormat="false" ht="15" hidden="false" customHeight="false" outlineLevel="0" collapsed="false">
      <c r="A3" s="6" t="n">
        <v>1</v>
      </c>
      <c r="B3" s="6" t="n">
        <v>67</v>
      </c>
      <c r="C3" s="6" t="n">
        <v>2</v>
      </c>
      <c r="D3" s="7"/>
      <c r="E3" s="9" t="str">
        <f aca="false">IFERROR(INDEX(exercicio!$B$2:$B$190,MATCH(A3,exercicio!$A$2:$A$190,0)),"")</f>
        <v>Supino Reto com Barra</v>
      </c>
      <c r="F3" s="9" t="str">
        <f aca="false">IFERROR(INDEX(exercicio!$B$2:$B$190,MATCH(B3,exercicio!$A$2:$A$190,0)),"")</f>
        <v>Supino Reto com Halteres</v>
      </c>
      <c r="G3" s="8" t="b">
        <f aca="false">COUNTIF(exercicio_equipamento!$A$2:$A$400,B3)=0</f>
        <v>0</v>
      </c>
    </row>
    <row r="4" customFormat="false" ht="15" hidden="false" customHeight="false" outlineLevel="0" collapsed="false">
      <c r="A4" s="6" t="n">
        <v>1</v>
      </c>
      <c r="B4" s="6" t="n">
        <v>69</v>
      </c>
      <c r="C4" s="6" t="n">
        <v>3</v>
      </c>
      <c r="D4" s="7"/>
      <c r="E4" s="9" t="str">
        <f aca="false">IFERROR(INDEX(exercicio!$B$2:$B$190,MATCH(A4,exercicio!$A$2:$A$190,0)),"")</f>
        <v>Supino Reto com Barra</v>
      </c>
      <c r="F4" s="9" t="str">
        <f aca="false">IFERROR(INDEX(exercicio!$B$2:$B$190,MATCH(B4,exercicio!$A$2:$A$190,0)),"")</f>
        <v>Supino na Máquina</v>
      </c>
      <c r="G4" s="8" t="b">
        <f aca="false">COUNTIF(exercicio_equipamento!$A$2:$A$400,B4)=0</f>
        <v>0</v>
      </c>
    </row>
    <row r="5" customFormat="false" ht="15" hidden="false" customHeight="false" outlineLevel="0" collapsed="false">
      <c r="A5" s="6" t="n">
        <v>1</v>
      </c>
      <c r="B5" s="6" t="n">
        <v>2</v>
      </c>
      <c r="C5" s="6" t="n">
        <v>4</v>
      </c>
      <c r="D5" s="7"/>
      <c r="E5" s="9" t="str">
        <f aca="false">IFERROR(INDEX(exercicio!$B$2:$B$190,MATCH(A5,exercicio!$A$2:$A$190,0)),"")</f>
        <v>Supino Reto com Barra</v>
      </c>
      <c r="F5" s="9" t="str">
        <f aca="false">IFERROR(INDEX(exercicio!$B$2:$B$190,MATCH(B5,exercicio!$A$2:$A$190,0)),"")</f>
        <v>Supino Inclinado com Halteres</v>
      </c>
      <c r="G5" s="8" t="b">
        <f aca="false">COUNTIF(exercicio_equipamento!$A$2:$A$400,B5)=0</f>
        <v>0</v>
      </c>
    </row>
    <row r="6" customFormat="false" ht="15" hidden="false" customHeight="false" outlineLevel="0" collapsed="false">
      <c r="A6" s="6" t="n">
        <v>2</v>
      </c>
      <c r="B6" s="6" t="n">
        <v>6</v>
      </c>
      <c r="C6" s="6" t="n">
        <v>1</v>
      </c>
      <c r="D6" s="7"/>
      <c r="E6" s="9" t="str">
        <f aca="false">IFERROR(INDEX(exercicio!$B$2:$B$190,MATCH(A6,exercicio!$A$2:$A$190,0)),"")</f>
        <v>Supino Inclinado com Halteres</v>
      </c>
      <c r="F6" s="9" t="str">
        <f aca="false">IFERROR(INDEX(exercicio!$B$2:$B$190,MATCH(B6,exercicio!$A$2:$A$190,0)),"")</f>
        <v>Flexão com Pés Elevados</v>
      </c>
      <c r="G6" s="8" t="b">
        <f aca="false">COUNTIF(exercicio_equipamento!$A$2:$A$400,B6)=0</f>
        <v>1</v>
      </c>
    </row>
    <row r="7" customFormat="false" ht="15" hidden="false" customHeight="false" outlineLevel="0" collapsed="false">
      <c r="A7" s="6" t="n">
        <v>2</v>
      </c>
      <c r="B7" s="6" t="n">
        <v>68</v>
      </c>
      <c r="C7" s="6" t="n">
        <v>2</v>
      </c>
      <c r="D7" s="7"/>
      <c r="E7" s="9" t="str">
        <f aca="false">IFERROR(INDEX(exercicio!$B$2:$B$190,MATCH(A7,exercicio!$A$2:$A$190,0)),"")</f>
        <v>Supino Inclinado com Halteres</v>
      </c>
      <c r="F7" s="9" t="str">
        <f aca="false">IFERROR(INDEX(exercicio!$B$2:$B$190,MATCH(B7,exercicio!$A$2:$A$190,0)),"")</f>
        <v>Supino Inclinado com Barra</v>
      </c>
      <c r="G7" s="8" t="b">
        <f aca="false">COUNTIF(exercicio_equipamento!$A$2:$A$400,B7)=0</f>
        <v>0</v>
      </c>
    </row>
    <row r="8" customFormat="false" ht="15" hidden="false" customHeight="false" outlineLevel="0" collapsed="false">
      <c r="A8" s="6" t="n">
        <v>2</v>
      </c>
      <c r="B8" s="6" t="n">
        <v>70</v>
      </c>
      <c r="C8" s="6" t="n">
        <v>3</v>
      </c>
      <c r="D8" s="7"/>
      <c r="E8" s="9" t="str">
        <f aca="false">IFERROR(INDEX(exercicio!$B$2:$B$190,MATCH(A8,exercicio!$A$2:$A$190,0)),"")</f>
        <v>Supino Inclinado com Halteres</v>
      </c>
      <c r="F8" s="9" t="str">
        <f aca="false">IFERROR(INDEX(exercicio!$B$2:$B$190,MATCH(B8,exercicio!$A$2:$A$190,0)),"")</f>
        <v>Supino Inclinado na Máquina</v>
      </c>
      <c r="G8" s="8" t="b">
        <f aca="false">COUNTIF(exercicio_equipamento!$A$2:$A$400,B8)=0</f>
        <v>0</v>
      </c>
    </row>
    <row r="9" customFormat="false" ht="15" hidden="false" customHeight="false" outlineLevel="0" collapsed="false">
      <c r="A9" s="6" t="n">
        <v>2</v>
      </c>
      <c r="B9" s="6" t="n">
        <v>67</v>
      </c>
      <c r="C9" s="6" t="n">
        <v>4</v>
      </c>
      <c r="D9" s="7"/>
      <c r="E9" s="9" t="str">
        <f aca="false">IFERROR(INDEX(exercicio!$B$2:$B$190,MATCH(A9,exercicio!$A$2:$A$190,0)),"")</f>
        <v>Supino Inclinado com Halteres</v>
      </c>
      <c r="F9" s="9" t="str">
        <f aca="false">IFERROR(INDEX(exercicio!$B$2:$B$190,MATCH(B9,exercicio!$A$2:$A$190,0)),"")</f>
        <v>Supino Reto com Halteres</v>
      </c>
      <c r="G9" s="8" t="b">
        <f aca="false">COUNTIF(exercicio_equipamento!$A$2:$A$400,B9)=0</f>
        <v>0</v>
      </c>
    </row>
    <row r="10" customFormat="false" ht="15" hidden="false" customHeight="false" outlineLevel="0" collapsed="false">
      <c r="A10" s="6" t="n">
        <v>3</v>
      </c>
      <c r="B10" s="6" t="n">
        <v>5</v>
      </c>
      <c r="C10" s="6" t="n">
        <v>1</v>
      </c>
      <c r="D10" s="7"/>
      <c r="E10" s="9" t="str">
        <f aca="false">IFERROR(INDEX(exercicio!$B$2:$B$190,MATCH(A10,exercicio!$A$2:$A$190,0)),"")</f>
        <v>Voador Peitoral</v>
      </c>
      <c r="F10" s="9" t="str">
        <f aca="false">IFERROR(INDEX(exercicio!$B$2:$B$190,MATCH(B10,exercicio!$A$2:$A$190,0)),"")</f>
        <v>Flexão com Apoio Afastado</v>
      </c>
      <c r="G10" s="8" t="b">
        <f aca="false">COUNTIF(exercicio_equipamento!$A$2:$A$400,B10)=0</f>
        <v>1</v>
      </c>
    </row>
    <row r="11" customFormat="false" ht="15" hidden="false" customHeight="false" outlineLevel="0" collapsed="false">
      <c r="A11" s="6" t="n">
        <v>3</v>
      </c>
      <c r="B11" s="6" t="n">
        <v>72</v>
      </c>
      <c r="C11" s="6" t="n">
        <v>2</v>
      </c>
      <c r="D11" s="7"/>
      <c r="E11" s="9" t="str">
        <f aca="false">IFERROR(INDEX(exercicio!$B$2:$B$190,MATCH(A11,exercicio!$A$2:$A$190,0)),"")</f>
        <v>Voador Peitoral</v>
      </c>
      <c r="F11" s="9" t="str">
        <f aca="false">IFERROR(INDEX(exercicio!$B$2:$B$190,MATCH(B11,exercicio!$A$2:$A$190,0)),"")</f>
        <v>Crossover na Polia</v>
      </c>
      <c r="G11" s="8" t="b">
        <f aca="false">COUNTIF(exercicio_equipamento!$A$2:$A$400,B11)=0</f>
        <v>0</v>
      </c>
    </row>
    <row r="12" customFormat="false" ht="15" hidden="false" customHeight="false" outlineLevel="0" collapsed="false">
      <c r="A12" s="6" t="n">
        <v>3</v>
      </c>
      <c r="B12" s="6" t="n">
        <v>71</v>
      </c>
      <c r="C12" s="6" t="n">
        <v>3</v>
      </c>
      <c r="D12" s="7"/>
      <c r="E12" s="9" t="str">
        <f aca="false">IFERROR(INDEX(exercicio!$B$2:$B$190,MATCH(A12,exercicio!$A$2:$A$190,0)),"")</f>
        <v>Voador Peitoral</v>
      </c>
      <c r="F12" s="9" t="str">
        <f aca="false">IFERROR(INDEX(exercicio!$B$2:$B$190,MATCH(B12,exercicio!$A$2:$A$190,0)),"")</f>
        <v>Crucifixo Reto com Halteres</v>
      </c>
      <c r="G12" s="8" t="b">
        <f aca="false">COUNTIF(exercicio_equipamento!$A$2:$A$400,B12)=0</f>
        <v>0</v>
      </c>
    </row>
    <row r="13" customFormat="false" ht="15" hidden="false" customHeight="false" outlineLevel="0" collapsed="false">
      <c r="A13" s="6" t="n">
        <v>4</v>
      </c>
      <c r="B13" s="6" t="n">
        <v>5</v>
      </c>
      <c r="C13" s="6" t="n">
        <v>1</v>
      </c>
      <c r="D13" s="7"/>
      <c r="E13" s="9" t="str">
        <f aca="false">IFERROR(INDEX(exercicio!$B$2:$B$190,MATCH(A13,exercicio!$A$2:$A$190,0)),"")</f>
        <v>Flexão de Braço</v>
      </c>
      <c r="F13" s="9" t="str">
        <f aca="false">IFERROR(INDEX(exercicio!$B$2:$B$190,MATCH(B13,exercicio!$A$2:$A$190,0)),"")</f>
        <v>Flexão com Apoio Afastado</v>
      </c>
      <c r="G13" s="8" t="b">
        <f aca="false">COUNTIF(exercicio_equipamento!$A$2:$A$400,B13)=0</f>
        <v>1</v>
      </c>
    </row>
    <row r="14" customFormat="false" ht="15" hidden="false" customHeight="false" outlineLevel="0" collapsed="false">
      <c r="A14" s="6" t="n">
        <v>4</v>
      </c>
      <c r="B14" s="6" t="n">
        <v>6</v>
      </c>
      <c r="C14" s="6" t="n">
        <v>2</v>
      </c>
      <c r="D14" s="7"/>
      <c r="E14" s="9" t="str">
        <f aca="false">IFERROR(INDEX(exercicio!$B$2:$B$190,MATCH(A14,exercicio!$A$2:$A$190,0)),"")</f>
        <v>Flexão de Braço</v>
      </c>
      <c r="F14" s="9" t="str">
        <f aca="false">IFERROR(INDEX(exercicio!$B$2:$B$190,MATCH(B14,exercicio!$A$2:$A$190,0)),"")</f>
        <v>Flexão com Pés Elevados</v>
      </c>
      <c r="G14" s="8" t="b">
        <f aca="false">COUNTIF(exercicio_equipamento!$A$2:$A$400,B14)=0</f>
        <v>1</v>
      </c>
    </row>
    <row r="15" customFormat="false" ht="15" hidden="false" customHeight="false" outlineLevel="0" collapsed="false">
      <c r="A15" s="6" t="n">
        <v>4</v>
      </c>
      <c r="B15" s="6" t="n">
        <v>1</v>
      </c>
      <c r="C15" s="6" t="n">
        <v>3</v>
      </c>
      <c r="D15" s="7"/>
      <c r="E15" s="9" t="str">
        <f aca="false">IFERROR(INDEX(exercicio!$B$2:$B$190,MATCH(A15,exercicio!$A$2:$A$190,0)),"")</f>
        <v>Flexão de Braço</v>
      </c>
      <c r="F15" s="9" t="str">
        <f aca="false">IFERROR(INDEX(exercicio!$B$2:$B$190,MATCH(B15,exercicio!$A$2:$A$190,0)),"")</f>
        <v>Supino Reto com Barra</v>
      </c>
      <c r="G15" s="8" t="b">
        <f aca="false">COUNTIF(exercicio_equipamento!$A$2:$A$400,B15)=0</f>
        <v>0</v>
      </c>
    </row>
    <row r="16" customFormat="false" ht="15" hidden="false" customHeight="false" outlineLevel="0" collapsed="false">
      <c r="A16" s="6" t="n">
        <v>4</v>
      </c>
      <c r="B16" s="6" t="n">
        <v>69</v>
      </c>
      <c r="C16" s="6" t="n">
        <v>4</v>
      </c>
      <c r="D16" s="7"/>
      <c r="E16" s="9" t="str">
        <f aca="false">IFERROR(INDEX(exercicio!$B$2:$B$190,MATCH(A16,exercicio!$A$2:$A$190,0)),"")</f>
        <v>Flexão de Braço</v>
      </c>
      <c r="F16" s="9" t="str">
        <f aca="false">IFERROR(INDEX(exercicio!$B$2:$B$190,MATCH(B16,exercicio!$A$2:$A$190,0)),"")</f>
        <v>Supino na Máquina</v>
      </c>
      <c r="G16" s="8" t="b">
        <f aca="false">COUNTIF(exercicio_equipamento!$A$2:$A$400,B16)=0</f>
        <v>0</v>
      </c>
    </row>
    <row r="17" customFormat="false" ht="15" hidden="false" customHeight="false" outlineLevel="0" collapsed="false">
      <c r="A17" s="6" t="n">
        <v>5</v>
      </c>
      <c r="B17" s="6" t="n">
        <v>4</v>
      </c>
      <c r="C17" s="6" t="n">
        <v>1</v>
      </c>
      <c r="D17" s="7"/>
      <c r="E17" s="9" t="str">
        <f aca="false">IFERROR(INDEX(exercicio!$B$2:$B$190,MATCH(A17,exercicio!$A$2:$A$190,0)),"")</f>
        <v>Flexão com Apoio Afastado</v>
      </c>
      <c r="F17" s="9" t="str">
        <f aca="false">IFERROR(INDEX(exercicio!$B$2:$B$190,MATCH(B17,exercicio!$A$2:$A$190,0)),"")</f>
        <v>Flexão de Braço</v>
      </c>
      <c r="G17" s="8" t="b">
        <f aca="false">COUNTIF(exercicio_equipamento!$A$2:$A$400,B17)=0</f>
        <v>1</v>
      </c>
    </row>
    <row r="18" customFormat="false" ht="15" hidden="false" customHeight="false" outlineLevel="0" collapsed="false">
      <c r="A18" s="6" t="n">
        <v>5</v>
      </c>
      <c r="B18" s="6" t="n">
        <v>6</v>
      </c>
      <c r="C18" s="6" t="n">
        <v>2</v>
      </c>
      <c r="D18" s="7"/>
      <c r="E18" s="9" t="str">
        <f aca="false">IFERROR(INDEX(exercicio!$B$2:$B$190,MATCH(A18,exercicio!$A$2:$A$190,0)),"")</f>
        <v>Flexão com Apoio Afastado</v>
      </c>
      <c r="F18" s="9" t="str">
        <f aca="false">IFERROR(INDEX(exercicio!$B$2:$B$190,MATCH(B18,exercicio!$A$2:$A$190,0)),"")</f>
        <v>Flexão com Pés Elevados</v>
      </c>
      <c r="G18" s="8" t="b">
        <f aca="false">COUNTIF(exercicio_equipamento!$A$2:$A$400,B18)=0</f>
        <v>1</v>
      </c>
    </row>
    <row r="19" customFormat="false" ht="15" hidden="false" customHeight="false" outlineLevel="0" collapsed="false">
      <c r="A19" s="6" t="n">
        <v>5</v>
      </c>
      <c r="B19" s="6" t="n">
        <v>3</v>
      </c>
      <c r="C19" s="6" t="n">
        <v>3</v>
      </c>
      <c r="D19" s="7"/>
      <c r="E19" s="9" t="str">
        <f aca="false">IFERROR(INDEX(exercicio!$B$2:$B$190,MATCH(A19,exercicio!$A$2:$A$190,0)),"")</f>
        <v>Flexão com Apoio Afastado</v>
      </c>
      <c r="F19" s="9" t="str">
        <f aca="false">IFERROR(INDEX(exercicio!$B$2:$B$190,MATCH(B19,exercicio!$A$2:$A$190,0)),"")</f>
        <v>Voador Peitoral</v>
      </c>
      <c r="G19" s="8" t="b">
        <f aca="false">COUNTIF(exercicio_equipamento!$A$2:$A$400,B19)=0</f>
        <v>0</v>
      </c>
    </row>
    <row r="20" customFormat="false" ht="15" hidden="false" customHeight="false" outlineLevel="0" collapsed="false">
      <c r="A20" s="6" t="n">
        <v>5</v>
      </c>
      <c r="B20" s="6" t="n">
        <v>71</v>
      </c>
      <c r="C20" s="6" t="n">
        <v>4</v>
      </c>
      <c r="D20" s="7"/>
      <c r="E20" s="9" t="str">
        <f aca="false">IFERROR(INDEX(exercicio!$B$2:$B$190,MATCH(A20,exercicio!$A$2:$A$190,0)),"")</f>
        <v>Flexão com Apoio Afastado</v>
      </c>
      <c r="F20" s="9" t="str">
        <f aca="false">IFERROR(INDEX(exercicio!$B$2:$B$190,MATCH(B20,exercicio!$A$2:$A$190,0)),"")</f>
        <v>Crucifixo Reto com Halteres</v>
      </c>
      <c r="G20" s="8" t="b">
        <f aca="false">COUNTIF(exercicio_equipamento!$A$2:$A$400,B20)=0</f>
        <v>0</v>
      </c>
    </row>
    <row r="21" customFormat="false" ht="15" hidden="false" customHeight="false" outlineLevel="0" collapsed="false">
      <c r="A21" s="6" t="n">
        <v>6</v>
      </c>
      <c r="B21" s="6" t="n">
        <v>4</v>
      </c>
      <c r="C21" s="6" t="n">
        <v>1</v>
      </c>
      <c r="D21" s="7"/>
      <c r="E21" s="9" t="str">
        <f aca="false">IFERROR(INDEX(exercicio!$B$2:$B$190,MATCH(A21,exercicio!$A$2:$A$190,0)),"")</f>
        <v>Flexão com Pés Elevados</v>
      </c>
      <c r="F21" s="9" t="str">
        <f aca="false">IFERROR(INDEX(exercicio!$B$2:$B$190,MATCH(B21,exercicio!$A$2:$A$190,0)),"")</f>
        <v>Flexão de Braço</v>
      </c>
      <c r="G21" s="8" t="b">
        <f aca="false">COUNTIF(exercicio_equipamento!$A$2:$A$400,B21)=0</f>
        <v>1</v>
      </c>
    </row>
    <row r="22" customFormat="false" ht="15" hidden="false" customHeight="false" outlineLevel="0" collapsed="false">
      <c r="A22" s="6" t="n">
        <v>6</v>
      </c>
      <c r="B22" s="6" t="n">
        <v>5</v>
      </c>
      <c r="C22" s="6" t="n">
        <v>2</v>
      </c>
      <c r="D22" s="7"/>
      <c r="E22" s="9" t="str">
        <f aca="false">IFERROR(INDEX(exercicio!$B$2:$B$190,MATCH(A22,exercicio!$A$2:$A$190,0)),"")</f>
        <v>Flexão com Pés Elevados</v>
      </c>
      <c r="F22" s="9" t="str">
        <f aca="false">IFERROR(INDEX(exercicio!$B$2:$B$190,MATCH(B22,exercicio!$A$2:$A$190,0)),"")</f>
        <v>Flexão com Apoio Afastado</v>
      </c>
      <c r="G22" s="8" t="b">
        <f aca="false">COUNTIF(exercicio_equipamento!$A$2:$A$400,B22)=0</f>
        <v>1</v>
      </c>
    </row>
    <row r="23" customFormat="false" ht="15" hidden="false" customHeight="false" outlineLevel="0" collapsed="false">
      <c r="A23" s="6" t="n">
        <v>6</v>
      </c>
      <c r="B23" s="6" t="n">
        <v>2</v>
      </c>
      <c r="C23" s="6" t="n">
        <v>3</v>
      </c>
      <c r="D23" s="7"/>
      <c r="E23" s="9" t="str">
        <f aca="false">IFERROR(INDEX(exercicio!$B$2:$B$190,MATCH(A23,exercicio!$A$2:$A$190,0)),"")</f>
        <v>Flexão com Pés Elevados</v>
      </c>
      <c r="F23" s="9" t="str">
        <f aca="false">IFERROR(INDEX(exercicio!$B$2:$B$190,MATCH(B23,exercicio!$A$2:$A$190,0)),"")</f>
        <v>Supino Inclinado com Halteres</v>
      </c>
      <c r="G23" s="8" t="b">
        <f aca="false">COUNTIF(exercicio_equipamento!$A$2:$A$400,B23)=0</f>
        <v>0</v>
      </c>
    </row>
    <row r="24" customFormat="false" ht="15" hidden="false" customHeight="false" outlineLevel="0" collapsed="false">
      <c r="A24" s="6" t="n">
        <v>6</v>
      </c>
      <c r="B24" s="6" t="n">
        <v>70</v>
      </c>
      <c r="C24" s="6" t="n">
        <v>4</v>
      </c>
      <c r="D24" s="7"/>
      <c r="E24" s="9" t="str">
        <f aca="false">IFERROR(INDEX(exercicio!$B$2:$B$190,MATCH(A24,exercicio!$A$2:$A$190,0)),"")</f>
        <v>Flexão com Pés Elevados</v>
      </c>
      <c r="F24" s="9" t="str">
        <f aca="false">IFERROR(INDEX(exercicio!$B$2:$B$190,MATCH(B24,exercicio!$A$2:$A$190,0)),"")</f>
        <v>Supino Inclinado na Máquina</v>
      </c>
      <c r="G24" s="8" t="b">
        <f aca="false">COUNTIF(exercicio_equipamento!$A$2:$A$400,B24)=0</f>
        <v>0</v>
      </c>
    </row>
    <row r="25" customFormat="false" ht="15" hidden="false" customHeight="false" outlineLevel="0" collapsed="false">
      <c r="A25" s="6" t="n">
        <v>7</v>
      </c>
      <c r="B25" s="6" t="n">
        <v>8</v>
      </c>
      <c r="C25" s="6" t="n">
        <v>1</v>
      </c>
      <c r="D25" s="7"/>
      <c r="E25" s="9" t="str">
        <f aca="false">IFERROR(INDEX(exercicio!$B$2:$B$190,MATCH(A25,exercicio!$A$2:$A$190,0)),"")</f>
        <v>Mergulho em Paralelas</v>
      </c>
      <c r="F25" s="9" t="str">
        <f aca="false">IFERROR(INDEX(exercicio!$B$2:$B$190,MATCH(B25,exercicio!$A$2:$A$190,0)),"")</f>
        <v>Flexão Diamante</v>
      </c>
      <c r="G25" s="8" t="b">
        <f aca="false">COUNTIF(exercicio_equipamento!$A$2:$A$400,B25)=0</f>
        <v>1</v>
      </c>
    </row>
    <row r="26" customFormat="false" ht="15" hidden="false" customHeight="false" outlineLevel="0" collapsed="false">
      <c r="A26" s="6" t="n">
        <v>7</v>
      </c>
      <c r="B26" s="6" t="n">
        <v>4</v>
      </c>
      <c r="C26" s="6" t="n">
        <v>2</v>
      </c>
      <c r="D26" s="7"/>
      <c r="E26" s="9" t="str">
        <f aca="false">IFERROR(INDEX(exercicio!$B$2:$B$190,MATCH(A26,exercicio!$A$2:$A$190,0)),"")</f>
        <v>Mergulho em Paralelas</v>
      </c>
      <c r="F26" s="9" t="str">
        <f aca="false">IFERROR(INDEX(exercicio!$B$2:$B$190,MATCH(B26,exercicio!$A$2:$A$190,0)),"")</f>
        <v>Flexão de Braço</v>
      </c>
      <c r="G26" s="8" t="b">
        <f aca="false">COUNTIF(exercicio_equipamento!$A$2:$A$400,B26)=0</f>
        <v>1</v>
      </c>
    </row>
    <row r="27" customFormat="false" ht="15" hidden="false" customHeight="false" outlineLevel="0" collapsed="false">
      <c r="A27" s="6" t="n">
        <v>7</v>
      </c>
      <c r="B27" s="6" t="n">
        <v>35</v>
      </c>
      <c r="C27" s="6" t="n">
        <v>3</v>
      </c>
      <c r="D27" s="7"/>
      <c r="E27" s="9" t="str">
        <f aca="false">IFERROR(INDEX(exercicio!$B$2:$B$190,MATCH(A27,exercicio!$A$2:$A$190,0)),"")</f>
        <v>Mergulho em Paralelas</v>
      </c>
      <c r="F27" s="9" t="str">
        <f aca="false">IFERROR(INDEX(exercicio!$B$2:$B$190,MATCH(B27,exercicio!$A$2:$A$190,0)),"")</f>
        <v>Tríceps Pulley</v>
      </c>
      <c r="G27" s="8" t="b">
        <f aca="false">COUNTIF(exercicio_equipamento!$A$2:$A$400,B27)=0</f>
        <v>0</v>
      </c>
    </row>
    <row r="28" customFormat="false" ht="15" hidden="false" customHeight="false" outlineLevel="0" collapsed="false">
      <c r="A28" s="6" t="n">
        <v>8</v>
      </c>
      <c r="B28" s="6" t="n">
        <v>4</v>
      </c>
      <c r="C28" s="6" t="n">
        <v>1</v>
      </c>
      <c r="D28" s="7"/>
      <c r="E28" s="9" t="str">
        <f aca="false">IFERROR(INDEX(exercicio!$B$2:$B$190,MATCH(A28,exercicio!$A$2:$A$190,0)),"")</f>
        <v>Flexão Diamante</v>
      </c>
      <c r="F28" s="9" t="str">
        <f aca="false">IFERROR(INDEX(exercicio!$B$2:$B$190,MATCH(B28,exercicio!$A$2:$A$190,0)),"")</f>
        <v>Flexão de Braço</v>
      </c>
      <c r="G28" s="8" t="b">
        <f aca="false">COUNTIF(exercicio_equipamento!$A$2:$A$400,B28)=0</f>
        <v>1</v>
      </c>
    </row>
    <row r="29" customFormat="false" ht="15" hidden="false" customHeight="false" outlineLevel="0" collapsed="false">
      <c r="A29" s="6" t="n">
        <v>8</v>
      </c>
      <c r="B29" s="6" t="n">
        <v>9</v>
      </c>
      <c r="C29" s="6" t="n">
        <v>2</v>
      </c>
      <c r="D29" s="7"/>
      <c r="E29" s="9" t="str">
        <f aca="false">IFERROR(INDEX(exercicio!$B$2:$B$190,MATCH(A29,exercicio!$A$2:$A$190,0)),"")</f>
        <v>Flexão Diamante</v>
      </c>
      <c r="F29" s="9" t="str">
        <f aca="false">IFERROR(INDEX(exercicio!$B$2:$B$190,MATCH(B29,exercicio!$A$2:$A$190,0)),"")</f>
        <v>Flexão em Pique</v>
      </c>
      <c r="G29" s="8" t="b">
        <f aca="false">COUNTIF(exercicio_equipamento!$A$2:$A$400,B29)=0</f>
        <v>1</v>
      </c>
    </row>
    <row r="30" customFormat="false" ht="15" hidden="false" customHeight="false" outlineLevel="0" collapsed="false">
      <c r="A30" s="6" t="n">
        <v>8</v>
      </c>
      <c r="B30" s="6" t="n">
        <v>7</v>
      </c>
      <c r="C30" s="6" t="n">
        <v>3</v>
      </c>
      <c r="D30" s="7"/>
      <c r="E30" s="9" t="str">
        <f aca="false">IFERROR(INDEX(exercicio!$B$2:$B$190,MATCH(A30,exercicio!$A$2:$A$190,0)),"")</f>
        <v>Flexão Diamante</v>
      </c>
      <c r="F30" s="9" t="str">
        <f aca="false">IFERROR(INDEX(exercicio!$B$2:$B$190,MATCH(B30,exercicio!$A$2:$A$190,0)),"")</f>
        <v>Mergulho em Paralelas</v>
      </c>
      <c r="G30" s="8" t="b">
        <f aca="false">COUNTIF(exercicio_equipamento!$A$2:$A$400,B30)=0</f>
        <v>0</v>
      </c>
    </row>
    <row r="31" customFormat="false" ht="15" hidden="false" customHeight="false" outlineLevel="0" collapsed="false">
      <c r="A31" s="6" t="n">
        <v>8</v>
      </c>
      <c r="B31" s="6" t="n">
        <v>35</v>
      </c>
      <c r="C31" s="6" t="n">
        <v>4</v>
      </c>
      <c r="D31" s="7"/>
      <c r="E31" s="9" t="str">
        <f aca="false">IFERROR(INDEX(exercicio!$B$2:$B$190,MATCH(A31,exercicio!$A$2:$A$190,0)),"")</f>
        <v>Flexão Diamante</v>
      </c>
      <c r="F31" s="9" t="str">
        <f aca="false">IFERROR(INDEX(exercicio!$B$2:$B$190,MATCH(B31,exercicio!$A$2:$A$190,0)),"")</f>
        <v>Tríceps Pulley</v>
      </c>
      <c r="G31" s="8" t="b">
        <f aca="false">COUNTIF(exercicio_equipamento!$A$2:$A$400,B31)=0</f>
        <v>0</v>
      </c>
    </row>
    <row r="32" customFormat="false" ht="15" hidden="false" customHeight="false" outlineLevel="0" collapsed="false">
      <c r="A32" s="6" t="n">
        <v>9</v>
      </c>
      <c r="B32" s="6" t="n">
        <v>6</v>
      </c>
      <c r="C32" s="6" t="n">
        <v>1</v>
      </c>
      <c r="D32" s="7"/>
      <c r="E32" s="9" t="str">
        <f aca="false">IFERROR(INDEX(exercicio!$B$2:$B$190,MATCH(A32,exercicio!$A$2:$A$190,0)),"")</f>
        <v>Flexão em Pique</v>
      </c>
      <c r="F32" s="9" t="str">
        <f aca="false">IFERROR(INDEX(exercicio!$B$2:$B$190,MATCH(B32,exercicio!$A$2:$A$190,0)),"")</f>
        <v>Flexão com Pés Elevados</v>
      </c>
      <c r="G32" s="8" t="b">
        <f aca="false">COUNTIF(exercicio_equipamento!$A$2:$A$400,B32)=0</f>
        <v>1</v>
      </c>
    </row>
    <row r="33" customFormat="false" ht="15" hidden="false" customHeight="false" outlineLevel="0" collapsed="false">
      <c r="A33" s="6" t="n">
        <v>9</v>
      </c>
      <c r="B33" s="6" t="n">
        <v>8</v>
      </c>
      <c r="C33" s="6" t="n">
        <v>2</v>
      </c>
      <c r="D33" s="7"/>
      <c r="E33" s="9" t="str">
        <f aca="false">IFERROR(INDEX(exercicio!$B$2:$B$190,MATCH(A33,exercicio!$A$2:$A$190,0)),"")</f>
        <v>Flexão em Pique</v>
      </c>
      <c r="F33" s="9" t="str">
        <f aca="false">IFERROR(INDEX(exercicio!$B$2:$B$190,MATCH(B33,exercicio!$A$2:$A$190,0)),"")</f>
        <v>Flexão Diamante</v>
      </c>
      <c r="G33" s="8" t="b">
        <f aca="false">COUNTIF(exercicio_equipamento!$A$2:$A$400,B33)=0</f>
        <v>1</v>
      </c>
    </row>
    <row r="34" customFormat="false" ht="15" hidden="false" customHeight="false" outlineLevel="0" collapsed="false">
      <c r="A34" s="6" t="n">
        <v>9</v>
      </c>
      <c r="B34" s="6" t="n">
        <v>11</v>
      </c>
      <c r="C34" s="6" t="n">
        <v>3</v>
      </c>
      <c r="D34" s="7"/>
      <c r="E34" s="9" t="str">
        <f aca="false">IFERROR(INDEX(exercicio!$B$2:$B$190,MATCH(A34,exercicio!$A$2:$A$190,0)),"")</f>
        <v>Flexão em Pique</v>
      </c>
      <c r="F34" s="9" t="str">
        <f aca="false">IFERROR(INDEX(exercicio!$B$2:$B$190,MATCH(B34,exercicio!$A$2:$A$190,0)),"")</f>
        <v>Desenvolvimento com Halteres</v>
      </c>
      <c r="G34" s="8" t="b">
        <f aca="false">COUNTIF(exercicio_equipamento!$A$2:$A$400,B34)=0</f>
        <v>0</v>
      </c>
    </row>
    <row r="35" customFormat="false" ht="15" hidden="false" customHeight="false" outlineLevel="0" collapsed="false">
      <c r="A35" s="6" t="n">
        <v>9</v>
      </c>
      <c r="B35" s="6" t="n">
        <v>74</v>
      </c>
      <c r="C35" s="6" t="n">
        <v>4</v>
      </c>
      <c r="D35" s="7"/>
      <c r="E35" s="9" t="str">
        <f aca="false">IFERROR(INDEX(exercicio!$B$2:$B$190,MATCH(A35,exercicio!$A$2:$A$190,0)),"")</f>
        <v>Flexão em Pique</v>
      </c>
      <c r="F35" s="9" t="str">
        <f aca="false">IFERROR(INDEX(exercicio!$B$2:$B$190,MATCH(B35,exercicio!$A$2:$A$190,0)),"")</f>
        <v>Desenvolvimento na Máquina</v>
      </c>
      <c r="G35" s="8" t="b">
        <f aca="false">COUNTIF(exercicio_equipamento!$A$2:$A$400,B35)=0</f>
        <v>0</v>
      </c>
    </row>
    <row r="36" customFormat="false" ht="15" hidden="false" customHeight="false" outlineLevel="0" collapsed="false">
      <c r="A36" s="6" t="n">
        <v>10</v>
      </c>
      <c r="B36" s="6" t="n">
        <v>4</v>
      </c>
      <c r="C36" s="6" t="n">
        <v>1</v>
      </c>
      <c r="D36" s="7"/>
      <c r="E36" s="9" t="str">
        <f aca="false">IFERROR(INDEX(exercicio!$B$2:$B$190,MATCH(A36,exercicio!$A$2:$A$190,0)),"")</f>
        <v>Flexão nas Pontas dos Dedos</v>
      </c>
      <c r="F36" s="9" t="str">
        <f aca="false">IFERROR(INDEX(exercicio!$B$2:$B$190,MATCH(B36,exercicio!$A$2:$A$190,0)),"")</f>
        <v>Flexão de Braço</v>
      </c>
      <c r="G36" s="8" t="b">
        <f aca="false">COUNTIF(exercicio_equipamento!$A$2:$A$400,B36)=0</f>
        <v>1</v>
      </c>
    </row>
    <row r="37" customFormat="false" ht="15" hidden="false" customHeight="false" outlineLevel="0" collapsed="false">
      <c r="A37" s="6" t="n">
        <v>10</v>
      </c>
      <c r="B37" s="6" t="n">
        <v>38</v>
      </c>
      <c r="C37" s="6" t="n">
        <v>2</v>
      </c>
      <c r="D37" s="7"/>
      <c r="E37" s="9" t="str">
        <f aca="false">IFERROR(INDEX(exercicio!$B$2:$B$190,MATCH(A37,exercicio!$A$2:$A$190,0)),"")</f>
        <v>Flexão nas Pontas dos Dedos</v>
      </c>
      <c r="F37" s="9" t="str">
        <f aca="false">IFERROR(INDEX(exercicio!$B$2:$B$190,MATCH(B37,exercicio!$A$2:$A$190,0)),"")</f>
        <v>Rosca de Punho com Halteres</v>
      </c>
      <c r="G37" s="8" t="b">
        <f aca="false">COUNTIF(exercicio_equipamento!$A$2:$A$400,B37)=0</f>
        <v>0</v>
      </c>
    </row>
    <row r="38" customFormat="false" ht="15" hidden="false" customHeight="false" outlineLevel="0" collapsed="false">
      <c r="A38" s="6" t="n">
        <v>10</v>
      </c>
      <c r="B38" s="6" t="n">
        <v>41</v>
      </c>
      <c r="C38" s="6" t="n">
        <v>3</v>
      </c>
      <c r="D38" s="7"/>
      <c r="E38" s="9" t="str">
        <f aca="false">IFERROR(INDEX(exercicio!$B$2:$B$190,MATCH(A38,exercicio!$A$2:$A$190,0)),"")</f>
        <v>Flexão nas Pontas dos Dedos</v>
      </c>
      <c r="F38" s="9" t="str">
        <f aca="false">IFERROR(INDEX(exercicio!$B$2:$B$190,MATCH(B38,exercicio!$A$2:$A$190,0)),"")</f>
        <v>Suspensão na Barra</v>
      </c>
      <c r="G38" s="8" t="b">
        <f aca="false">COUNTIF(exercicio_equipamento!$A$2:$A$400,B38)=0</f>
        <v>0</v>
      </c>
    </row>
    <row r="39" customFormat="false" ht="15" hidden="false" customHeight="false" outlineLevel="0" collapsed="false">
      <c r="A39" s="6" t="n">
        <v>11</v>
      </c>
      <c r="B39" s="6" t="n">
        <v>9</v>
      </c>
      <c r="C39" s="6" t="n">
        <v>1</v>
      </c>
      <c r="D39" s="7"/>
      <c r="E39" s="9" t="str">
        <f aca="false">IFERROR(INDEX(exercicio!$B$2:$B$190,MATCH(A39,exercicio!$A$2:$A$190,0)),"")</f>
        <v>Desenvolvimento com Halteres</v>
      </c>
      <c r="F39" s="9" t="str">
        <f aca="false">IFERROR(INDEX(exercicio!$B$2:$B$190,MATCH(B39,exercicio!$A$2:$A$190,0)),"")</f>
        <v>Flexão em Pique</v>
      </c>
      <c r="G39" s="8" t="b">
        <f aca="false">COUNTIF(exercicio_equipamento!$A$2:$A$400,B39)=0</f>
        <v>1</v>
      </c>
    </row>
    <row r="40" customFormat="false" ht="15" hidden="false" customHeight="false" outlineLevel="0" collapsed="false">
      <c r="A40" s="6" t="n">
        <v>11</v>
      </c>
      <c r="B40" s="6" t="n">
        <v>74</v>
      </c>
      <c r="C40" s="6" t="n">
        <v>2</v>
      </c>
      <c r="D40" s="7"/>
      <c r="E40" s="9" t="str">
        <f aca="false">IFERROR(INDEX(exercicio!$B$2:$B$190,MATCH(A40,exercicio!$A$2:$A$190,0)),"")</f>
        <v>Desenvolvimento com Halteres</v>
      </c>
      <c r="F40" s="9" t="str">
        <f aca="false">IFERROR(INDEX(exercicio!$B$2:$B$190,MATCH(B40,exercicio!$A$2:$A$190,0)),"")</f>
        <v>Desenvolvimento na Máquina</v>
      </c>
      <c r="G40" s="8" t="b">
        <f aca="false">COUNTIF(exercicio_equipamento!$A$2:$A$400,B40)=0</f>
        <v>0</v>
      </c>
    </row>
    <row r="41" customFormat="false" ht="15" hidden="false" customHeight="false" outlineLevel="0" collapsed="false">
      <c r="A41" s="6" t="n">
        <v>11</v>
      </c>
      <c r="B41" s="6" t="n">
        <v>2</v>
      </c>
      <c r="C41" s="6" t="n">
        <v>3</v>
      </c>
      <c r="D41" s="7"/>
      <c r="E41" s="9" t="str">
        <f aca="false">IFERROR(INDEX(exercicio!$B$2:$B$190,MATCH(A41,exercicio!$A$2:$A$190,0)),"")</f>
        <v>Desenvolvimento com Halteres</v>
      </c>
      <c r="F41" s="9" t="str">
        <f aca="false">IFERROR(INDEX(exercicio!$B$2:$B$190,MATCH(B41,exercicio!$A$2:$A$190,0)),"")</f>
        <v>Supino Inclinado com Halteres</v>
      </c>
      <c r="G41" s="8" t="b">
        <f aca="false">COUNTIF(exercicio_equipamento!$A$2:$A$400,B41)=0</f>
        <v>0</v>
      </c>
    </row>
    <row r="42" customFormat="false" ht="23.85" hidden="false" customHeight="false" outlineLevel="0" collapsed="false">
      <c r="A42" s="6" t="n">
        <v>12</v>
      </c>
      <c r="B42" s="6" t="n">
        <v>15</v>
      </c>
      <c r="C42" s="6" t="n">
        <v>1</v>
      </c>
      <c r="D42" s="7" t="s">
        <v>428</v>
      </c>
      <c r="E42" s="9" t="str">
        <f aca="false">IFERROR(INDEX(exercicio!$B$2:$B$190,MATCH(A42,exercicio!$A$2:$A$190,0)),"")</f>
        <v>Elevação Lateral no Cabo</v>
      </c>
      <c r="F42" s="9" t="str">
        <f aca="false">IFERROR(INDEX(exercicio!$B$2:$B$190,MATCH(B42,exercicio!$A$2:$A$190,0)),"")</f>
        <v>Elevação Prona em T</v>
      </c>
      <c r="G42" s="8" t="b">
        <f aca="false">COUNTIF(exercicio_equipamento!$A$2:$A$400,B42)=0</f>
        <v>1</v>
      </c>
    </row>
    <row r="43" customFormat="false" ht="15" hidden="false" customHeight="false" outlineLevel="0" collapsed="false">
      <c r="A43" s="6" t="n">
        <v>12</v>
      </c>
      <c r="B43" s="6" t="n">
        <v>73</v>
      </c>
      <c r="C43" s="6" t="n">
        <v>2</v>
      </c>
      <c r="D43" s="7"/>
      <c r="E43" s="9" t="str">
        <f aca="false">IFERROR(INDEX(exercicio!$B$2:$B$190,MATCH(A43,exercicio!$A$2:$A$190,0)),"")</f>
        <v>Elevação Lateral no Cabo</v>
      </c>
      <c r="F43" s="9" t="str">
        <f aca="false">IFERROR(INDEX(exercicio!$B$2:$B$190,MATCH(B43,exercicio!$A$2:$A$190,0)),"")</f>
        <v>Elevação Lateral com Halteres</v>
      </c>
      <c r="G43" s="8" t="b">
        <f aca="false">COUNTIF(exercicio_equipamento!$A$2:$A$400,B43)=0</f>
        <v>0</v>
      </c>
    </row>
    <row r="44" customFormat="false" ht="15" hidden="false" customHeight="false" outlineLevel="0" collapsed="false">
      <c r="A44" s="6" t="n">
        <v>12</v>
      </c>
      <c r="B44" s="6" t="n">
        <v>13</v>
      </c>
      <c r="C44" s="6" t="n">
        <v>3</v>
      </c>
      <c r="D44" s="7"/>
      <c r="E44" s="9" t="str">
        <f aca="false">IFERROR(INDEX(exercicio!$B$2:$B$190,MATCH(A44,exercicio!$A$2:$A$190,0)),"")</f>
        <v>Elevação Lateral no Cabo</v>
      </c>
      <c r="F44" s="9" t="str">
        <f aca="false">IFERROR(INDEX(exercicio!$B$2:$B$190,MATCH(B44,exercicio!$A$2:$A$190,0)),"")</f>
        <v>Elevação Lateral na Máquina</v>
      </c>
      <c r="G44" s="8" t="b">
        <f aca="false">COUNTIF(exercicio_equipamento!$A$2:$A$400,B44)=0</f>
        <v>0</v>
      </c>
    </row>
    <row r="45" customFormat="false" ht="23.85" hidden="false" customHeight="false" outlineLevel="0" collapsed="false">
      <c r="A45" s="6" t="n">
        <v>13</v>
      </c>
      <c r="B45" s="6" t="n">
        <v>15</v>
      </c>
      <c r="C45" s="6" t="n">
        <v>1</v>
      </c>
      <c r="D45" s="7" t="s">
        <v>428</v>
      </c>
      <c r="E45" s="9" t="str">
        <f aca="false">IFERROR(INDEX(exercicio!$B$2:$B$190,MATCH(A45,exercicio!$A$2:$A$190,0)),"")</f>
        <v>Elevação Lateral na Máquina</v>
      </c>
      <c r="F45" s="9" t="str">
        <f aca="false">IFERROR(INDEX(exercicio!$B$2:$B$190,MATCH(B45,exercicio!$A$2:$A$190,0)),"")</f>
        <v>Elevação Prona em T</v>
      </c>
      <c r="G45" s="8" t="b">
        <f aca="false">COUNTIF(exercicio_equipamento!$A$2:$A$400,B45)=0</f>
        <v>1</v>
      </c>
    </row>
    <row r="46" customFormat="false" ht="15" hidden="false" customHeight="false" outlineLevel="0" collapsed="false">
      <c r="A46" s="6" t="n">
        <v>13</v>
      </c>
      <c r="B46" s="6" t="n">
        <v>73</v>
      </c>
      <c r="C46" s="6" t="n">
        <v>2</v>
      </c>
      <c r="D46" s="7"/>
      <c r="E46" s="9" t="str">
        <f aca="false">IFERROR(INDEX(exercicio!$B$2:$B$190,MATCH(A46,exercicio!$A$2:$A$190,0)),"")</f>
        <v>Elevação Lateral na Máquina</v>
      </c>
      <c r="F46" s="9" t="str">
        <f aca="false">IFERROR(INDEX(exercicio!$B$2:$B$190,MATCH(B46,exercicio!$A$2:$A$190,0)),"")</f>
        <v>Elevação Lateral com Halteres</v>
      </c>
      <c r="G46" s="8" t="b">
        <f aca="false">COUNTIF(exercicio_equipamento!$A$2:$A$400,B46)=0</f>
        <v>0</v>
      </c>
    </row>
    <row r="47" customFormat="false" ht="15" hidden="false" customHeight="false" outlineLevel="0" collapsed="false">
      <c r="A47" s="6" t="n">
        <v>13</v>
      </c>
      <c r="B47" s="6" t="n">
        <v>12</v>
      </c>
      <c r="C47" s="6" t="n">
        <v>3</v>
      </c>
      <c r="D47" s="7"/>
      <c r="E47" s="9" t="str">
        <f aca="false">IFERROR(INDEX(exercicio!$B$2:$B$190,MATCH(A47,exercicio!$A$2:$A$190,0)),"")</f>
        <v>Elevação Lateral na Máquina</v>
      </c>
      <c r="F47" s="9" t="str">
        <f aca="false">IFERROR(INDEX(exercicio!$B$2:$B$190,MATCH(B47,exercicio!$A$2:$A$190,0)),"")</f>
        <v>Elevação Lateral no Cabo</v>
      </c>
      <c r="G47" s="8" t="b">
        <f aca="false">COUNTIF(exercicio_equipamento!$A$2:$A$400,B47)=0</f>
        <v>0</v>
      </c>
    </row>
    <row r="48" customFormat="false" ht="15" hidden="false" customHeight="false" outlineLevel="0" collapsed="false">
      <c r="A48" s="6" t="n">
        <v>14</v>
      </c>
      <c r="B48" s="6" t="n">
        <v>16</v>
      </c>
      <c r="C48" s="6" t="n">
        <v>1</v>
      </c>
      <c r="D48" s="7"/>
      <c r="E48" s="9" t="str">
        <f aca="false">IFERROR(INDEX(exercicio!$B$2:$B$190,MATCH(A48,exercicio!$A$2:$A$190,0)),"")</f>
        <v>Crucifixo Invertido na Polia</v>
      </c>
      <c r="F48" s="9" t="str">
        <f aca="false">IFERROR(INDEX(exercicio!$B$2:$B$190,MATCH(B48,exercicio!$A$2:$A$190,0)),"")</f>
        <v>Anjo da Neve Invertido</v>
      </c>
      <c r="G48" s="8" t="b">
        <f aca="false">COUNTIF(exercicio_equipamento!$A$2:$A$400,B48)=0</f>
        <v>1</v>
      </c>
    </row>
    <row r="49" customFormat="false" ht="15" hidden="false" customHeight="false" outlineLevel="0" collapsed="false">
      <c r="A49" s="6" t="n">
        <v>14</v>
      </c>
      <c r="B49" s="6" t="n">
        <v>15</v>
      </c>
      <c r="C49" s="6" t="n">
        <v>2</v>
      </c>
      <c r="D49" s="7"/>
      <c r="E49" s="9" t="str">
        <f aca="false">IFERROR(INDEX(exercicio!$B$2:$B$190,MATCH(A49,exercicio!$A$2:$A$190,0)),"")</f>
        <v>Crucifixo Invertido na Polia</v>
      </c>
      <c r="F49" s="9" t="str">
        <f aca="false">IFERROR(INDEX(exercicio!$B$2:$B$190,MATCH(B49,exercicio!$A$2:$A$190,0)),"")</f>
        <v>Elevação Prona em T</v>
      </c>
      <c r="G49" s="8" t="b">
        <f aca="false">COUNTIF(exercicio_equipamento!$A$2:$A$400,B49)=0</f>
        <v>1</v>
      </c>
    </row>
    <row r="50" customFormat="false" ht="15" hidden="false" customHeight="false" outlineLevel="0" collapsed="false">
      <c r="A50" s="6" t="n">
        <v>14</v>
      </c>
      <c r="B50" s="6" t="n">
        <v>19</v>
      </c>
      <c r="C50" s="6" t="n">
        <v>3</v>
      </c>
      <c r="D50" s="7"/>
      <c r="E50" s="9" t="str">
        <f aca="false">IFERROR(INDEX(exercicio!$B$2:$B$190,MATCH(A50,exercicio!$A$2:$A$190,0)),"")</f>
        <v>Crucifixo Invertido na Polia</v>
      </c>
      <c r="F50" s="9" t="str">
        <f aca="false">IFERROR(INDEX(exercicio!$B$2:$B$190,MATCH(B50,exercicio!$A$2:$A$190,0)),"")</f>
        <v>Remada Unilateral Articulada</v>
      </c>
      <c r="G50" s="8" t="b">
        <f aca="false">COUNTIF(exercicio_equipamento!$A$2:$A$400,B50)=0</f>
        <v>0</v>
      </c>
    </row>
    <row r="51" customFormat="false" ht="15" hidden="false" customHeight="false" outlineLevel="0" collapsed="false">
      <c r="A51" s="6" t="n">
        <v>15</v>
      </c>
      <c r="B51" s="6" t="n">
        <v>16</v>
      </c>
      <c r="C51" s="6" t="n">
        <v>1</v>
      </c>
      <c r="D51" s="7"/>
      <c r="E51" s="9" t="str">
        <f aca="false">IFERROR(INDEX(exercicio!$B$2:$B$190,MATCH(A51,exercicio!$A$2:$A$190,0)),"")</f>
        <v>Elevação Prona em T</v>
      </c>
      <c r="F51" s="9" t="str">
        <f aca="false">IFERROR(INDEX(exercicio!$B$2:$B$190,MATCH(B51,exercicio!$A$2:$A$190,0)),"")</f>
        <v>Anjo da Neve Invertido</v>
      </c>
      <c r="G51" s="8" t="b">
        <f aca="false">COUNTIF(exercicio_equipamento!$A$2:$A$400,B51)=0</f>
        <v>1</v>
      </c>
    </row>
    <row r="52" customFormat="false" ht="15" hidden="false" customHeight="false" outlineLevel="0" collapsed="false">
      <c r="A52" s="6" t="n">
        <v>15</v>
      </c>
      <c r="B52" s="6" t="n">
        <v>25</v>
      </c>
      <c r="C52" s="6" t="n">
        <v>2</v>
      </c>
      <c r="D52" s="7"/>
      <c r="E52" s="9" t="str">
        <f aca="false">IFERROR(INDEX(exercicio!$B$2:$B$190,MATCH(A52,exercicio!$A$2:$A$190,0)),"")</f>
        <v>Elevação Prona em T</v>
      </c>
      <c r="F52" s="9" t="str">
        <f aca="false">IFERROR(INDEX(exercicio!$B$2:$B$190,MATCH(B52,exercicio!$A$2:$A$190,0)),"")</f>
        <v>Elevação Prona em Y</v>
      </c>
      <c r="G52" s="8" t="b">
        <f aca="false">COUNTIF(exercicio_equipamento!$A$2:$A$400,B52)=0</f>
        <v>1</v>
      </c>
    </row>
    <row r="53" customFormat="false" ht="15" hidden="false" customHeight="false" outlineLevel="0" collapsed="false">
      <c r="A53" s="6" t="n">
        <v>15</v>
      </c>
      <c r="B53" s="6" t="n">
        <v>14</v>
      </c>
      <c r="C53" s="6" t="n">
        <v>3</v>
      </c>
      <c r="D53" s="7"/>
      <c r="E53" s="9" t="str">
        <f aca="false">IFERROR(INDEX(exercicio!$B$2:$B$190,MATCH(A53,exercicio!$A$2:$A$190,0)),"")</f>
        <v>Elevação Prona em T</v>
      </c>
      <c r="F53" s="9" t="str">
        <f aca="false">IFERROR(INDEX(exercicio!$B$2:$B$190,MATCH(B53,exercicio!$A$2:$A$190,0)),"")</f>
        <v>Crucifixo Invertido na Polia</v>
      </c>
      <c r="G53" s="8" t="b">
        <f aca="false">COUNTIF(exercicio_equipamento!$A$2:$A$400,B53)=0</f>
        <v>0</v>
      </c>
    </row>
    <row r="54" customFormat="false" ht="15" hidden="false" customHeight="false" outlineLevel="0" collapsed="false">
      <c r="A54" s="6" t="n">
        <v>16</v>
      </c>
      <c r="B54" s="6" t="n">
        <v>15</v>
      </c>
      <c r="C54" s="6" t="n">
        <v>1</v>
      </c>
      <c r="D54" s="7"/>
      <c r="E54" s="9" t="str">
        <f aca="false">IFERROR(INDEX(exercicio!$B$2:$B$190,MATCH(A54,exercicio!$A$2:$A$190,0)),"")</f>
        <v>Anjo da Neve Invertido</v>
      </c>
      <c r="F54" s="9" t="str">
        <f aca="false">IFERROR(INDEX(exercicio!$B$2:$B$190,MATCH(B54,exercicio!$A$2:$A$190,0)),"")</f>
        <v>Elevação Prona em T</v>
      </c>
      <c r="G54" s="8" t="b">
        <f aca="false">COUNTIF(exercicio_equipamento!$A$2:$A$400,B54)=0</f>
        <v>1</v>
      </c>
    </row>
    <row r="55" customFormat="false" ht="15" hidden="false" customHeight="false" outlineLevel="0" collapsed="false">
      <c r="A55" s="6" t="n">
        <v>16</v>
      </c>
      <c r="B55" s="6" t="n">
        <v>29</v>
      </c>
      <c r="C55" s="6" t="n">
        <v>2</v>
      </c>
      <c r="D55" s="7"/>
      <c r="E55" s="9" t="str">
        <f aca="false">IFERROR(INDEX(exercicio!$B$2:$B$190,MATCH(A55,exercicio!$A$2:$A$190,0)),"")</f>
        <v>Anjo da Neve Invertido</v>
      </c>
      <c r="F55" s="9" t="str">
        <f aca="false">IFERROR(INDEX(exercicio!$B$2:$B$190,MATCH(B55,exercicio!$A$2:$A$190,0)),"")</f>
        <v>Superman</v>
      </c>
      <c r="G55" s="8" t="b">
        <f aca="false">COUNTIF(exercicio_equipamento!$A$2:$A$400,B55)=0</f>
        <v>1</v>
      </c>
    </row>
    <row r="56" customFormat="false" ht="15" hidden="false" customHeight="false" outlineLevel="0" collapsed="false">
      <c r="A56" s="6" t="n">
        <v>16</v>
      </c>
      <c r="B56" s="6" t="n">
        <v>14</v>
      </c>
      <c r="C56" s="6" t="n">
        <v>3</v>
      </c>
      <c r="D56" s="7"/>
      <c r="E56" s="9" t="str">
        <f aca="false">IFERROR(INDEX(exercicio!$B$2:$B$190,MATCH(A56,exercicio!$A$2:$A$190,0)),"")</f>
        <v>Anjo da Neve Invertido</v>
      </c>
      <c r="F56" s="9" t="str">
        <f aca="false">IFERROR(INDEX(exercicio!$B$2:$B$190,MATCH(B56,exercicio!$A$2:$A$190,0)),"")</f>
        <v>Crucifixo Invertido na Polia</v>
      </c>
      <c r="G56" s="8" t="b">
        <f aca="false">COUNTIF(exercicio_equipamento!$A$2:$A$400,B56)=0</f>
        <v>0</v>
      </c>
    </row>
    <row r="57" customFormat="false" ht="15" hidden="false" customHeight="false" outlineLevel="0" collapsed="false">
      <c r="A57" s="6" t="n">
        <v>17</v>
      </c>
      <c r="B57" s="6" t="n">
        <v>22</v>
      </c>
      <c r="C57" s="6" t="n">
        <v>1</v>
      </c>
      <c r="D57" s="7"/>
      <c r="E57" s="9" t="str">
        <f aca="false">IFERROR(INDEX(exercicio!$B$2:$B$190,MATCH(A57,exercicio!$A$2:$A$190,0)),"")</f>
        <v>Puxada Alta</v>
      </c>
      <c r="F57" s="9" t="str">
        <f aca="false">IFERROR(INDEX(exercicio!$B$2:$B$190,MATCH(B57,exercicio!$A$2:$A$190,0)),"")</f>
        <v>Barra Fixa</v>
      </c>
      <c r="G57" s="8" t="b">
        <f aca="false">COUNTIF(exercicio_equipamento!$A$2:$A$400,B57)=0</f>
        <v>0</v>
      </c>
    </row>
    <row r="58" customFormat="false" ht="15" hidden="false" customHeight="false" outlineLevel="0" collapsed="false">
      <c r="A58" s="6" t="n">
        <v>17</v>
      </c>
      <c r="B58" s="6" t="n">
        <v>76</v>
      </c>
      <c r="C58" s="6" t="n">
        <v>2</v>
      </c>
      <c r="D58" s="7"/>
      <c r="E58" s="9" t="str">
        <f aca="false">IFERROR(INDEX(exercicio!$B$2:$B$190,MATCH(A58,exercicio!$A$2:$A$190,0)),"")</f>
        <v>Puxada Alta</v>
      </c>
      <c r="F58" s="9" t="str">
        <f aca="false">IFERROR(INDEX(exercicio!$B$2:$B$190,MATCH(B58,exercicio!$A$2:$A$190,0)),"")</f>
        <v>Puxada Alta com Triângulo</v>
      </c>
      <c r="G58" s="8" t="b">
        <f aca="false">COUNTIF(exercicio_equipamento!$A$2:$A$400,B58)=0</f>
        <v>0</v>
      </c>
    </row>
    <row r="59" customFormat="false" ht="15" hidden="false" customHeight="false" outlineLevel="0" collapsed="false">
      <c r="A59" s="6" t="n">
        <v>17</v>
      </c>
      <c r="B59" s="6" t="n">
        <v>20</v>
      </c>
      <c r="C59" s="6" t="n">
        <v>3</v>
      </c>
      <c r="D59" s="7"/>
      <c r="E59" s="9" t="str">
        <f aca="false">IFERROR(INDEX(exercicio!$B$2:$B$190,MATCH(A59,exercicio!$A$2:$A$190,0)),"")</f>
        <v>Puxada Alta</v>
      </c>
      <c r="F59" s="9" t="str">
        <f aca="false">IFERROR(INDEX(exercicio!$B$2:$B$190,MATCH(B59,exercicio!$A$2:$A$190,0)),"")</f>
        <v>Puxada Unilateral na Polia</v>
      </c>
      <c r="G59" s="8" t="b">
        <f aca="false">COUNTIF(exercicio_equipamento!$A$2:$A$400,B59)=0</f>
        <v>0</v>
      </c>
    </row>
    <row r="60" customFormat="false" ht="23.85" hidden="false" customHeight="false" outlineLevel="0" collapsed="false">
      <c r="A60" s="6" t="n">
        <v>17</v>
      </c>
      <c r="B60" s="6" t="n">
        <v>25</v>
      </c>
      <c r="C60" s="6" t="n">
        <v>4</v>
      </c>
      <c r="D60" s="7" t="s">
        <v>429</v>
      </c>
      <c r="E60" s="9" t="str">
        <f aca="false">IFERROR(INDEX(exercicio!$B$2:$B$190,MATCH(A60,exercicio!$A$2:$A$190,0)),"")</f>
        <v>Puxada Alta</v>
      </c>
      <c r="F60" s="9" t="str">
        <f aca="false">IFERROR(INDEX(exercicio!$B$2:$B$190,MATCH(B60,exercicio!$A$2:$A$190,0)),"")</f>
        <v>Elevação Prona em Y</v>
      </c>
      <c r="G60" s="8" t="b">
        <f aca="false">COUNTIF(exercicio_equipamento!$A$2:$A$400,B60)=0</f>
        <v>1</v>
      </c>
    </row>
    <row r="61" customFormat="false" ht="15" hidden="false" customHeight="false" outlineLevel="0" collapsed="false">
      <c r="A61" s="6" t="n">
        <v>18</v>
      </c>
      <c r="B61" s="6" t="n">
        <v>19</v>
      </c>
      <c r="C61" s="6" t="n">
        <v>1</v>
      </c>
      <c r="D61" s="7"/>
      <c r="E61" s="9" t="str">
        <f aca="false">IFERROR(INDEX(exercicio!$B$2:$B$190,MATCH(A61,exercicio!$A$2:$A$190,0)),"")</f>
        <v>Remada Baixa</v>
      </c>
      <c r="F61" s="9" t="str">
        <f aca="false">IFERROR(INDEX(exercicio!$B$2:$B$190,MATCH(B61,exercicio!$A$2:$A$190,0)),"")</f>
        <v>Remada Unilateral Articulada</v>
      </c>
      <c r="G61" s="8" t="b">
        <f aca="false">COUNTIF(exercicio_equipamento!$A$2:$A$400,B61)=0</f>
        <v>0</v>
      </c>
    </row>
    <row r="62" customFormat="false" ht="15" hidden="false" customHeight="false" outlineLevel="0" collapsed="false">
      <c r="A62" s="6" t="n">
        <v>18</v>
      </c>
      <c r="B62" s="6" t="n">
        <v>77</v>
      </c>
      <c r="C62" s="6" t="n">
        <v>2</v>
      </c>
      <c r="D62" s="7"/>
      <c r="E62" s="9" t="str">
        <f aca="false">IFERROR(INDEX(exercicio!$B$2:$B$190,MATCH(A62,exercicio!$A$2:$A$190,0)),"")</f>
        <v>Remada Baixa</v>
      </c>
      <c r="F62" s="9" t="str">
        <f aca="false">IFERROR(INDEX(exercicio!$B$2:$B$190,MATCH(B62,exercicio!$A$2:$A$190,0)),"")</f>
        <v>Remada Cavalinho</v>
      </c>
      <c r="G62" s="8" t="b">
        <f aca="false">COUNTIF(exercicio_equipamento!$A$2:$A$400,B62)=0</f>
        <v>0</v>
      </c>
    </row>
    <row r="63" customFormat="false" ht="15" hidden="false" customHeight="false" outlineLevel="0" collapsed="false">
      <c r="A63" s="6" t="n">
        <v>18</v>
      </c>
      <c r="B63" s="6" t="n">
        <v>21</v>
      </c>
      <c r="C63" s="6" t="n">
        <v>3</v>
      </c>
      <c r="D63" s="7"/>
      <c r="E63" s="9" t="str">
        <f aca="false">IFERROR(INDEX(exercicio!$B$2:$B$190,MATCH(A63,exercicio!$A$2:$A$190,0)),"")</f>
        <v>Remada Baixa</v>
      </c>
      <c r="F63" s="9" t="str">
        <f aca="false">IFERROR(INDEX(exercicio!$B$2:$B$190,MATCH(B63,exercicio!$A$2:$A$190,0)),"")</f>
        <v>Remada Invertida</v>
      </c>
      <c r="G63" s="8" t="b">
        <f aca="false">COUNTIF(exercicio_equipamento!$A$2:$A$400,B63)=0</f>
        <v>0</v>
      </c>
    </row>
    <row r="64" customFormat="false" ht="23.85" hidden="false" customHeight="false" outlineLevel="0" collapsed="false">
      <c r="A64" s="6" t="n">
        <v>18</v>
      </c>
      <c r="B64" s="6" t="n">
        <v>15</v>
      </c>
      <c r="C64" s="6" t="n">
        <v>4</v>
      </c>
      <c r="D64" s="7" t="s">
        <v>430</v>
      </c>
      <c r="E64" s="9" t="str">
        <f aca="false">IFERROR(INDEX(exercicio!$B$2:$B$190,MATCH(A64,exercicio!$A$2:$A$190,0)),"")</f>
        <v>Remada Baixa</v>
      </c>
      <c r="F64" s="9" t="str">
        <f aca="false">IFERROR(INDEX(exercicio!$B$2:$B$190,MATCH(B64,exercicio!$A$2:$A$190,0)),"")</f>
        <v>Elevação Prona em T</v>
      </c>
      <c r="G64" s="8" t="b">
        <f aca="false">COUNTIF(exercicio_equipamento!$A$2:$A$400,B64)=0</f>
        <v>1</v>
      </c>
    </row>
    <row r="65" customFormat="false" ht="15" hidden="false" customHeight="false" outlineLevel="0" collapsed="false">
      <c r="A65" s="6" t="n">
        <v>19</v>
      </c>
      <c r="B65" s="6" t="n">
        <v>18</v>
      </c>
      <c r="C65" s="6" t="n">
        <v>1</v>
      </c>
      <c r="D65" s="7"/>
      <c r="E65" s="9" t="str">
        <f aca="false">IFERROR(INDEX(exercicio!$B$2:$B$190,MATCH(A65,exercicio!$A$2:$A$190,0)),"")</f>
        <v>Remada Unilateral Articulada</v>
      </c>
      <c r="F65" s="9" t="str">
        <f aca="false">IFERROR(INDEX(exercicio!$B$2:$B$190,MATCH(B65,exercicio!$A$2:$A$190,0)),"")</f>
        <v>Remada Baixa</v>
      </c>
      <c r="G65" s="8" t="b">
        <f aca="false">COUNTIF(exercicio_equipamento!$A$2:$A$400,B65)=0</f>
        <v>0</v>
      </c>
    </row>
    <row r="66" customFormat="false" ht="15" hidden="false" customHeight="false" outlineLevel="0" collapsed="false">
      <c r="A66" s="6" t="n">
        <v>19</v>
      </c>
      <c r="B66" s="6" t="n">
        <v>77</v>
      </c>
      <c r="C66" s="6" t="n">
        <v>2</v>
      </c>
      <c r="D66" s="7"/>
      <c r="E66" s="9" t="str">
        <f aca="false">IFERROR(INDEX(exercicio!$B$2:$B$190,MATCH(A66,exercicio!$A$2:$A$190,0)),"")</f>
        <v>Remada Unilateral Articulada</v>
      </c>
      <c r="F66" s="9" t="str">
        <f aca="false">IFERROR(INDEX(exercicio!$B$2:$B$190,MATCH(B66,exercicio!$A$2:$A$190,0)),"")</f>
        <v>Remada Cavalinho</v>
      </c>
      <c r="G66" s="8" t="b">
        <f aca="false">COUNTIF(exercicio_equipamento!$A$2:$A$400,B66)=0</f>
        <v>0</v>
      </c>
    </row>
    <row r="67" customFormat="false" ht="15" hidden="false" customHeight="false" outlineLevel="0" collapsed="false">
      <c r="A67" s="6" t="n">
        <v>19</v>
      </c>
      <c r="B67" s="6" t="n">
        <v>21</v>
      </c>
      <c r="C67" s="6" t="n">
        <v>3</v>
      </c>
      <c r="D67" s="7"/>
      <c r="E67" s="9" t="str">
        <f aca="false">IFERROR(INDEX(exercicio!$B$2:$B$190,MATCH(A67,exercicio!$A$2:$A$190,0)),"")</f>
        <v>Remada Unilateral Articulada</v>
      </c>
      <c r="F67" s="9" t="str">
        <f aca="false">IFERROR(INDEX(exercicio!$B$2:$B$190,MATCH(B67,exercicio!$A$2:$A$190,0)),"")</f>
        <v>Remada Invertida</v>
      </c>
      <c r="G67" s="8" t="b">
        <f aca="false">COUNTIF(exercicio_equipamento!$A$2:$A$400,B67)=0</f>
        <v>0</v>
      </c>
    </row>
    <row r="68" customFormat="false" ht="15" hidden="false" customHeight="false" outlineLevel="0" collapsed="false">
      <c r="A68" s="6" t="n">
        <v>19</v>
      </c>
      <c r="B68" s="6" t="n">
        <v>15</v>
      </c>
      <c r="C68" s="6" t="n">
        <v>4</v>
      </c>
      <c r="D68" s="7" t="s">
        <v>431</v>
      </c>
      <c r="E68" s="9" t="str">
        <f aca="false">IFERROR(INDEX(exercicio!$B$2:$B$190,MATCH(A68,exercicio!$A$2:$A$190,0)),"")</f>
        <v>Remada Unilateral Articulada</v>
      </c>
      <c r="F68" s="9" t="str">
        <f aca="false">IFERROR(INDEX(exercicio!$B$2:$B$190,MATCH(B68,exercicio!$A$2:$A$190,0)),"")</f>
        <v>Elevação Prona em T</v>
      </c>
      <c r="G68" s="8" t="b">
        <f aca="false">COUNTIF(exercicio_equipamento!$A$2:$A$400,B68)=0</f>
        <v>1</v>
      </c>
    </row>
    <row r="69" customFormat="false" ht="15" hidden="false" customHeight="false" outlineLevel="0" collapsed="false">
      <c r="A69" s="6" t="n">
        <v>20</v>
      </c>
      <c r="B69" s="6" t="n">
        <v>17</v>
      </c>
      <c r="C69" s="6" t="n">
        <v>1</v>
      </c>
      <c r="D69" s="7"/>
      <c r="E69" s="9" t="str">
        <f aca="false">IFERROR(INDEX(exercicio!$B$2:$B$190,MATCH(A69,exercicio!$A$2:$A$190,0)),"")</f>
        <v>Puxada Unilateral na Polia</v>
      </c>
      <c r="F69" s="9" t="str">
        <f aca="false">IFERROR(INDEX(exercicio!$B$2:$B$190,MATCH(B69,exercicio!$A$2:$A$190,0)),"")</f>
        <v>Puxada Alta</v>
      </c>
      <c r="G69" s="8" t="b">
        <f aca="false">COUNTIF(exercicio_equipamento!$A$2:$A$400,B69)=0</f>
        <v>0</v>
      </c>
    </row>
    <row r="70" customFormat="false" ht="15" hidden="false" customHeight="false" outlineLevel="0" collapsed="false">
      <c r="A70" s="6" t="n">
        <v>20</v>
      </c>
      <c r="B70" s="6" t="n">
        <v>22</v>
      </c>
      <c r="C70" s="6" t="n">
        <v>2</v>
      </c>
      <c r="D70" s="7"/>
      <c r="E70" s="9" t="str">
        <f aca="false">IFERROR(INDEX(exercicio!$B$2:$B$190,MATCH(A70,exercicio!$A$2:$A$190,0)),"")</f>
        <v>Puxada Unilateral na Polia</v>
      </c>
      <c r="F70" s="9" t="str">
        <f aca="false">IFERROR(INDEX(exercicio!$B$2:$B$190,MATCH(B70,exercicio!$A$2:$A$190,0)),"")</f>
        <v>Barra Fixa</v>
      </c>
      <c r="G70" s="8" t="b">
        <f aca="false">COUNTIF(exercicio_equipamento!$A$2:$A$400,B70)=0</f>
        <v>0</v>
      </c>
    </row>
    <row r="71" customFormat="false" ht="15" hidden="false" customHeight="false" outlineLevel="0" collapsed="false">
      <c r="A71" s="6" t="n">
        <v>20</v>
      </c>
      <c r="B71" s="6" t="n">
        <v>25</v>
      </c>
      <c r="C71" s="6" t="n">
        <v>3</v>
      </c>
      <c r="D71" s="7" t="s">
        <v>432</v>
      </c>
      <c r="E71" s="9" t="str">
        <f aca="false">IFERROR(INDEX(exercicio!$B$2:$B$190,MATCH(A71,exercicio!$A$2:$A$190,0)),"")</f>
        <v>Puxada Unilateral na Polia</v>
      </c>
      <c r="F71" s="9" t="str">
        <f aca="false">IFERROR(INDEX(exercicio!$B$2:$B$190,MATCH(B71,exercicio!$A$2:$A$190,0)),"")</f>
        <v>Elevação Prona em Y</v>
      </c>
      <c r="G71" s="8" t="b">
        <f aca="false">COUNTIF(exercicio_equipamento!$A$2:$A$400,B71)=0</f>
        <v>1</v>
      </c>
    </row>
    <row r="72" customFormat="false" ht="15" hidden="false" customHeight="false" outlineLevel="0" collapsed="false">
      <c r="A72" s="6" t="n">
        <v>21</v>
      </c>
      <c r="B72" s="6" t="n">
        <v>22</v>
      </c>
      <c r="C72" s="6" t="n">
        <v>1</v>
      </c>
      <c r="D72" s="7"/>
      <c r="E72" s="9" t="str">
        <f aca="false">IFERROR(INDEX(exercicio!$B$2:$B$190,MATCH(A72,exercicio!$A$2:$A$190,0)),"")</f>
        <v>Remada Invertida</v>
      </c>
      <c r="F72" s="9" t="str">
        <f aca="false">IFERROR(INDEX(exercicio!$B$2:$B$190,MATCH(B72,exercicio!$A$2:$A$190,0)),"")</f>
        <v>Barra Fixa</v>
      </c>
      <c r="G72" s="8" t="b">
        <f aca="false">COUNTIF(exercicio_equipamento!$A$2:$A$400,B72)=0</f>
        <v>0</v>
      </c>
    </row>
    <row r="73" customFormat="false" ht="15" hidden="false" customHeight="false" outlineLevel="0" collapsed="false">
      <c r="A73" s="6" t="n">
        <v>21</v>
      </c>
      <c r="B73" s="6" t="n">
        <v>18</v>
      </c>
      <c r="C73" s="6" t="n">
        <v>2</v>
      </c>
      <c r="D73" s="7"/>
      <c r="E73" s="9" t="str">
        <f aca="false">IFERROR(INDEX(exercicio!$B$2:$B$190,MATCH(A73,exercicio!$A$2:$A$190,0)),"")</f>
        <v>Remada Invertida</v>
      </c>
      <c r="F73" s="9" t="str">
        <f aca="false">IFERROR(INDEX(exercicio!$B$2:$B$190,MATCH(B73,exercicio!$A$2:$A$190,0)),"")</f>
        <v>Remada Baixa</v>
      </c>
      <c r="G73" s="8" t="b">
        <f aca="false">COUNTIF(exercicio_equipamento!$A$2:$A$400,B73)=0</f>
        <v>0</v>
      </c>
    </row>
    <row r="74" customFormat="false" ht="15" hidden="false" customHeight="false" outlineLevel="0" collapsed="false">
      <c r="A74" s="6" t="n">
        <v>21</v>
      </c>
      <c r="B74" s="6" t="n">
        <v>15</v>
      </c>
      <c r="C74" s="6" t="n">
        <v>3</v>
      </c>
      <c r="D74" s="7" t="s">
        <v>431</v>
      </c>
      <c r="E74" s="9" t="str">
        <f aca="false">IFERROR(INDEX(exercicio!$B$2:$B$190,MATCH(A74,exercicio!$A$2:$A$190,0)),"")</f>
        <v>Remada Invertida</v>
      </c>
      <c r="F74" s="9" t="str">
        <f aca="false">IFERROR(INDEX(exercicio!$B$2:$B$190,MATCH(B74,exercicio!$A$2:$A$190,0)),"")</f>
        <v>Elevação Prona em T</v>
      </c>
      <c r="G74" s="8" t="b">
        <f aca="false">COUNTIF(exercicio_equipamento!$A$2:$A$400,B74)=0</f>
        <v>1</v>
      </c>
    </row>
    <row r="75" customFormat="false" ht="15" hidden="false" customHeight="false" outlineLevel="0" collapsed="false">
      <c r="A75" s="6" t="n">
        <v>22</v>
      </c>
      <c r="B75" s="6" t="n">
        <v>17</v>
      </c>
      <c r="C75" s="6" t="n">
        <v>1</v>
      </c>
      <c r="D75" s="7"/>
      <c r="E75" s="9" t="str">
        <f aca="false">IFERROR(INDEX(exercicio!$B$2:$B$190,MATCH(A75,exercicio!$A$2:$A$190,0)),"")</f>
        <v>Barra Fixa</v>
      </c>
      <c r="F75" s="9" t="str">
        <f aca="false">IFERROR(INDEX(exercicio!$B$2:$B$190,MATCH(B75,exercicio!$A$2:$A$190,0)),"")</f>
        <v>Puxada Alta</v>
      </c>
      <c r="G75" s="8" t="b">
        <f aca="false">COUNTIF(exercicio_equipamento!$A$2:$A$400,B75)=0</f>
        <v>0</v>
      </c>
    </row>
    <row r="76" customFormat="false" ht="15" hidden="false" customHeight="false" outlineLevel="0" collapsed="false">
      <c r="A76" s="6" t="n">
        <v>22</v>
      </c>
      <c r="B76" s="6" t="n">
        <v>21</v>
      </c>
      <c r="C76" s="6" t="n">
        <v>2</v>
      </c>
      <c r="D76" s="7"/>
      <c r="E76" s="9" t="str">
        <f aca="false">IFERROR(INDEX(exercicio!$B$2:$B$190,MATCH(A76,exercicio!$A$2:$A$190,0)),"")</f>
        <v>Barra Fixa</v>
      </c>
      <c r="F76" s="9" t="str">
        <f aca="false">IFERROR(INDEX(exercicio!$B$2:$B$190,MATCH(B76,exercicio!$A$2:$A$190,0)),"")</f>
        <v>Remada Invertida</v>
      </c>
      <c r="G76" s="8" t="b">
        <f aca="false">COUNTIF(exercicio_equipamento!$A$2:$A$400,B76)=0</f>
        <v>0</v>
      </c>
    </row>
    <row r="77" customFormat="false" ht="15" hidden="false" customHeight="false" outlineLevel="0" collapsed="false">
      <c r="A77" s="6" t="n">
        <v>22</v>
      </c>
      <c r="B77" s="6" t="n">
        <v>25</v>
      </c>
      <c r="C77" s="6" t="n">
        <v>3</v>
      </c>
      <c r="D77" s="7" t="s">
        <v>432</v>
      </c>
      <c r="E77" s="9" t="str">
        <f aca="false">IFERROR(INDEX(exercicio!$B$2:$B$190,MATCH(A77,exercicio!$A$2:$A$190,0)),"")</f>
        <v>Barra Fixa</v>
      </c>
      <c r="F77" s="9" t="str">
        <f aca="false">IFERROR(INDEX(exercicio!$B$2:$B$190,MATCH(B77,exercicio!$A$2:$A$190,0)),"")</f>
        <v>Elevação Prona em Y</v>
      </c>
      <c r="G77" s="8" t="b">
        <f aca="false">COUNTIF(exercicio_equipamento!$A$2:$A$400,B77)=0</f>
        <v>1</v>
      </c>
    </row>
    <row r="78" customFormat="false" ht="15" hidden="false" customHeight="false" outlineLevel="0" collapsed="false">
      <c r="A78" s="6" t="n">
        <v>23</v>
      </c>
      <c r="B78" s="6" t="n">
        <v>24</v>
      </c>
      <c r="C78" s="6" t="n">
        <v>1</v>
      </c>
      <c r="D78" s="7"/>
      <c r="E78" s="9" t="str">
        <f aca="false">IFERROR(INDEX(exercicio!$B$2:$B$190,MATCH(A78,exercicio!$A$2:$A$190,0)),"")</f>
        <v>Encolhimento com Halteres</v>
      </c>
      <c r="F78" s="9" t="str">
        <f aca="false">IFERROR(INDEX(exercicio!$B$2:$B$190,MATCH(B78,exercicio!$A$2:$A$190,0)),"")</f>
        <v>Encolhimento com Barra</v>
      </c>
      <c r="G78" s="8" t="b">
        <f aca="false">COUNTIF(exercicio_equipamento!$A$2:$A$400,B78)=0</f>
        <v>0</v>
      </c>
    </row>
    <row r="79" customFormat="false" ht="15" hidden="false" customHeight="false" outlineLevel="0" collapsed="false">
      <c r="A79" s="6" t="n">
        <v>23</v>
      </c>
      <c r="B79" s="6" t="n">
        <v>25</v>
      </c>
      <c r="C79" s="6" t="n">
        <v>2</v>
      </c>
      <c r="D79" s="7"/>
      <c r="E79" s="9" t="str">
        <f aca="false">IFERROR(INDEX(exercicio!$B$2:$B$190,MATCH(A79,exercicio!$A$2:$A$190,0)),"")</f>
        <v>Encolhimento com Halteres</v>
      </c>
      <c r="F79" s="9" t="str">
        <f aca="false">IFERROR(INDEX(exercicio!$B$2:$B$190,MATCH(B79,exercicio!$A$2:$A$190,0)),"")</f>
        <v>Elevação Prona em Y</v>
      </c>
      <c r="G79" s="8" t="b">
        <f aca="false">COUNTIF(exercicio_equipamento!$A$2:$A$400,B79)=0</f>
        <v>1</v>
      </c>
    </row>
    <row r="80" customFormat="false" ht="15" hidden="false" customHeight="false" outlineLevel="0" collapsed="false">
      <c r="A80" s="6" t="n">
        <v>23</v>
      </c>
      <c r="B80" s="6" t="n">
        <v>26</v>
      </c>
      <c r="C80" s="6" t="n">
        <v>3</v>
      </c>
      <c r="D80" s="7"/>
      <c r="E80" s="9" t="str">
        <f aca="false">IFERROR(INDEX(exercicio!$B$2:$B$190,MATCH(A80,exercicio!$A$2:$A$190,0)),"")</f>
        <v>Encolhimento com Halteres</v>
      </c>
      <c r="F80" s="9" t="str">
        <f aca="false">IFERROR(INDEX(exercicio!$B$2:$B$190,MATCH(B80,exercicio!$A$2:$A$190,0)),"")</f>
        <v>Anjo e Diabo Prono</v>
      </c>
      <c r="G80" s="8" t="b">
        <f aca="false">COUNTIF(exercicio_equipamento!$A$2:$A$400,B80)=0</f>
        <v>1</v>
      </c>
    </row>
    <row r="81" customFormat="false" ht="15" hidden="false" customHeight="false" outlineLevel="0" collapsed="false">
      <c r="A81" s="6" t="n">
        <v>24</v>
      </c>
      <c r="B81" s="6" t="n">
        <v>23</v>
      </c>
      <c r="C81" s="6" t="n">
        <v>1</v>
      </c>
      <c r="D81" s="7"/>
      <c r="E81" s="9" t="str">
        <f aca="false">IFERROR(INDEX(exercicio!$B$2:$B$190,MATCH(A81,exercicio!$A$2:$A$190,0)),"")</f>
        <v>Encolhimento com Barra</v>
      </c>
      <c r="F81" s="9" t="str">
        <f aca="false">IFERROR(INDEX(exercicio!$B$2:$B$190,MATCH(B81,exercicio!$A$2:$A$190,0)),"")</f>
        <v>Encolhimento com Halteres</v>
      </c>
      <c r="G81" s="8" t="b">
        <f aca="false">COUNTIF(exercicio_equipamento!$A$2:$A$400,B81)=0</f>
        <v>0</v>
      </c>
    </row>
    <row r="82" customFormat="false" ht="15" hidden="false" customHeight="false" outlineLevel="0" collapsed="false">
      <c r="A82" s="6" t="n">
        <v>24</v>
      </c>
      <c r="B82" s="6" t="n">
        <v>25</v>
      </c>
      <c r="C82" s="6" t="n">
        <v>2</v>
      </c>
      <c r="D82" s="7"/>
      <c r="E82" s="9" t="str">
        <f aca="false">IFERROR(INDEX(exercicio!$B$2:$B$190,MATCH(A82,exercicio!$A$2:$A$190,0)),"")</f>
        <v>Encolhimento com Barra</v>
      </c>
      <c r="F82" s="9" t="str">
        <f aca="false">IFERROR(INDEX(exercicio!$B$2:$B$190,MATCH(B82,exercicio!$A$2:$A$190,0)),"")</f>
        <v>Elevação Prona em Y</v>
      </c>
      <c r="G82" s="8" t="b">
        <f aca="false">COUNTIF(exercicio_equipamento!$A$2:$A$400,B82)=0</f>
        <v>1</v>
      </c>
    </row>
    <row r="83" customFormat="false" ht="15" hidden="false" customHeight="false" outlineLevel="0" collapsed="false">
      <c r="A83" s="6" t="n">
        <v>24</v>
      </c>
      <c r="B83" s="6" t="n">
        <v>26</v>
      </c>
      <c r="C83" s="6" t="n">
        <v>3</v>
      </c>
      <c r="D83" s="7"/>
      <c r="E83" s="9" t="str">
        <f aca="false">IFERROR(INDEX(exercicio!$B$2:$B$190,MATCH(A83,exercicio!$A$2:$A$190,0)),"")</f>
        <v>Encolhimento com Barra</v>
      </c>
      <c r="F83" s="9" t="str">
        <f aca="false">IFERROR(INDEX(exercicio!$B$2:$B$190,MATCH(B83,exercicio!$A$2:$A$190,0)),"")</f>
        <v>Anjo e Diabo Prono</v>
      </c>
      <c r="G83" s="8" t="b">
        <f aca="false">COUNTIF(exercicio_equipamento!$A$2:$A$400,B83)=0</f>
        <v>1</v>
      </c>
    </row>
    <row r="84" customFormat="false" ht="15" hidden="false" customHeight="false" outlineLevel="0" collapsed="false">
      <c r="A84" s="6" t="n">
        <v>25</v>
      </c>
      <c r="B84" s="6" t="n">
        <v>26</v>
      </c>
      <c r="C84" s="6" t="n">
        <v>1</v>
      </c>
      <c r="D84" s="7"/>
      <c r="E84" s="9" t="str">
        <f aca="false">IFERROR(INDEX(exercicio!$B$2:$B$190,MATCH(A84,exercicio!$A$2:$A$190,0)),"")</f>
        <v>Elevação Prona em Y</v>
      </c>
      <c r="F84" s="9" t="str">
        <f aca="false">IFERROR(INDEX(exercicio!$B$2:$B$190,MATCH(B84,exercicio!$A$2:$A$190,0)),"")</f>
        <v>Anjo e Diabo Prono</v>
      </c>
      <c r="G84" s="8" t="b">
        <f aca="false">COUNTIF(exercicio_equipamento!$A$2:$A$400,B84)=0</f>
        <v>1</v>
      </c>
    </row>
    <row r="85" customFormat="false" ht="15" hidden="false" customHeight="false" outlineLevel="0" collapsed="false">
      <c r="A85" s="6" t="n">
        <v>25</v>
      </c>
      <c r="B85" s="6" t="n">
        <v>23</v>
      </c>
      <c r="C85" s="6" t="n">
        <v>2</v>
      </c>
      <c r="D85" s="7"/>
      <c r="E85" s="9" t="str">
        <f aca="false">IFERROR(INDEX(exercicio!$B$2:$B$190,MATCH(A85,exercicio!$A$2:$A$190,0)),"")</f>
        <v>Elevação Prona em Y</v>
      </c>
      <c r="F85" s="9" t="str">
        <f aca="false">IFERROR(INDEX(exercicio!$B$2:$B$190,MATCH(B85,exercicio!$A$2:$A$190,0)),"")</f>
        <v>Encolhimento com Halteres</v>
      </c>
      <c r="G85" s="8" t="b">
        <f aca="false">COUNTIF(exercicio_equipamento!$A$2:$A$400,B85)=0</f>
        <v>0</v>
      </c>
    </row>
    <row r="86" customFormat="false" ht="15" hidden="false" customHeight="false" outlineLevel="0" collapsed="false">
      <c r="A86" s="6" t="n">
        <v>25</v>
      </c>
      <c r="B86" s="6" t="n">
        <v>29</v>
      </c>
      <c r="C86" s="6" t="n">
        <v>3</v>
      </c>
      <c r="D86" s="7"/>
      <c r="E86" s="9" t="str">
        <f aca="false">IFERROR(INDEX(exercicio!$B$2:$B$190,MATCH(A86,exercicio!$A$2:$A$190,0)),"")</f>
        <v>Elevação Prona em Y</v>
      </c>
      <c r="F86" s="9" t="str">
        <f aca="false">IFERROR(INDEX(exercicio!$B$2:$B$190,MATCH(B86,exercicio!$A$2:$A$190,0)),"")</f>
        <v>Superman</v>
      </c>
      <c r="G86" s="8" t="b">
        <f aca="false">COUNTIF(exercicio_equipamento!$A$2:$A$400,B86)=0</f>
        <v>1</v>
      </c>
    </row>
    <row r="87" customFormat="false" ht="15" hidden="false" customHeight="false" outlineLevel="0" collapsed="false">
      <c r="A87" s="6" t="n">
        <v>26</v>
      </c>
      <c r="B87" s="6" t="n">
        <v>25</v>
      </c>
      <c r="C87" s="6" t="n">
        <v>1</v>
      </c>
      <c r="D87" s="7"/>
      <c r="E87" s="9" t="str">
        <f aca="false">IFERROR(INDEX(exercicio!$B$2:$B$190,MATCH(A87,exercicio!$A$2:$A$190,0)),"")</f>
        <v>Anjo e Diabo Prono</v>
      </c>
      <c r="F87" s="9" t="str">
        <f aca="false">IFERROR(INDEX(exercicio!$B$2:$B$190,MATCH(B87,exercicio!$A$2:$A$190,0)),"")</f>
        <v>Elevação Prona em Y</v>
      </c>
      <c r="G87" s="8" t="b">
        <f aca="false">COUNTIF(exercicio_equipamento!$A$2:$A$400,B87)=0</f>
        <v>1</v>
      </c>
    </row>
    <row r="88" customFormat="false" ht="15" hidden="false" customHeight="false" outlineLevel="0" collapsed="false">
      <c r="A88" s="6" t="n">
        <v>26</v>
      </c>
      <c r="B88" s="6" t="n">
        <v>29</v>
      </c>
      <c r="C88" s="6" t="n">
        <v>2</v>
      </c>
      <c r="D88" s="7"/>
      <c r="E88" s="9" t="str">
        <f aca="false">IFERROR(INDEX(exercicio!$B$2:$B$190,MATCH(A88,exercicio!$A$2:$A$190,0)),"")</f>
        <v>Anjo e Diabo Prono</v>
      </c>
      <c r="F88" s="9" t="str">
        <f aca="false">IFERROR(INDEX(exercicio!$B$2:$B$190,MATCH(B88,exercicio!$A$2:$A$190,0)),"")</f>
        <v>Superman</v>
      </c>
      <c r="G88" s="8" t="b">
        <f aca="false">COUNTIF(exercicio_equipamento!$A$2:$A$400,B88)=0</f>
        <v>1</v>
      </c>
    </row>
    <row r="89" customFormat="false" ht="15" hidden="false" customHeight="false" outlineLevel="0" collapsed="false">
      <c r="A89" s="6" t="n">
        <v>26</v>
      </c>
      <c r="B89" s="6" t="n">
        <v>24</v>
      </c>
      <c r="C89" s="6" t="n">
        <v>3</v>
      </c>
      <c r="D89" s="7"/>
      <c r="E89" s="9" t="str">
        <f aca="false">IFERROR(INDEX(exercicio!$B$2:$B$190,MATCH(A89,exercicio!$A$2:$A$190,0)),"")</f>
        <v>Anjo e Diabo Prono</v>
      </c>
      <c r="F89" s="9" t="str">
        <f aca="false">IFERROR(INDEX(exercicio!$B$2:$B$190,MATCH(B89,exercicio!$A$2:$A$190,0)),"")</f>
        <v>Encolhimento com Barra</v>
      </c>
      <c r="G89" s="8" t="b">
        <f aca="false">COUNTIF(exercicio_equipamento!$A$2:$A$400,B89)=0</f>
        <v>0</v>
      </c>
    </row>
    <row r="90" customFormat="false" ht="15" hidden="false" customHeight="false" outlineLevel="0" collapsed="false">
      <c r="A90" s="6" t="n">
        <v>27</v>
      </c>
      <c r="B90" s="6" t="n">
        <v>29</v>
      </c>
      <c r="C90" s="6" t="n">
        <v>1</v>
      </c>
      <c r="D90" s="7"/>
      <c r="E90" s="9" t="str">
        <f aca="false">IFERROR(INDEX(exercicio!$B$2:$B$190,MATCH(A90,exercicio!$A$2:$A$190,0)),"")</f>
        <v>Hiperextensão Lombar</v>
      </c>
      <c r="F90" s="9" t="str">
        <f aca="false">IFERROR(INDEX(exercicio!$B$2:$B$190,MATCH(B90,exercicio!$A$2:$A$190,0)),"")</f>
        <v>Superman</v>
      </c>
      <c r="G90" s="8" t="b">
        <f aca="false">COUNTIF(exercicio_equipamento!$A$2:$A$400,B90)=0</f>
        <v>1</v>
      </c>
    </row>
    <row r="91" customFormat="false" ht="15" hidden="false" customHeight="false" outlineLevel="0" collapsed="false">
      <c r="A91" s="6" t="n">
        <v>27</v>
      </c>
      <c r="B91" s="6" t="n">
        <v>28</v>
      </c>
      <c r="C91" s="6" t="n">
        <v>2</v>
      </c>
      <c r="D91" s="7"/>
      <c r="E91" s="9" t="str">
        <f aca="false">IFERROR(INDEX(exercicio!$B$2:$B$190,MATCH(A91,exercicio!$A$2:$A$190,0)),"")</f>
        <v>Hiperextensão Lombar</v>
      </c>
      <c r="F91" s="9" t="str">
        <f aca="false">IFERROR(INDEX(exercicio!$B$2:$B$190,MATCH(B91,exercicio!$A$2:$A$190,0)),"")</f>
        <v>Good Morning</v>
      </c>
      <c r="G91" s="8" t="b">
        <f aca="false">COUNTIF(exercicio_equipamento!$A$2:$A$400,B91)=0</f>
        <v>0</v>
      </c>
    </row>
    <row r="92" customFormat="false" ht="15" hidden="false" customHeight="false" outlineLevel="0" collapsed="false">
      <c r="A92" s="6" t="n">
        <v>27</v>
      </c>
      <c r="B92" s="6" t="n">
        <v>50</v>
      </c>
      <c r="C92" s="6" t="n">
        <v>3</v>
      </c>
      <c r="D92" s="7"/>
      <c r="E92" s="9" t="str">
        <f aca="false">IFERROR(INDEX(exercicio!$B$2:$B$190,MATCH(A92,exercicio!$A$2:$A$190,0)),"")</f>
        <v>Hiperextensão Lombar</v>
      </c>
      <c r="F92" s="9" t="str">
        <f aca="false">IFERROR(INDEX(exercicio!$B$2:$B$190,MATCH(B92,exercicio!$A$2:$A$190,0)),"")</f>
        <v>Stiff</v>
      </c>
      <c r="G92" s="8" t="b">
        <f aca="false">COUNTIF(exercicio_equipamento!$A$2:$A$400,B92)=0</f>
        <v>0</v>
      </c>
    </row>
    <row r="93" customFormat="false" ht="15" hidden="false" customHeight="false" outlineLevel="0" collapsed="false">
      <c r="A93" s="6" t="n">
        <v>28</v>
      </c>
      <c r="B93" s="6" t="n">
        <v>29</v>
      </c>
      <c r="C93" s="6" t="n">
        <v>1</v>
      </c>
      <c r="D93" s="7"/>
      <c r="E93" s="9" t="str">
        <f aca="false">IFERROR(INDEX(exercicio!$B$2:$B$190,MATCH(A93,exercicio!$A$2:$A$190,0)),"")</f>
        <v>Good Morning</v>
      </c>
      <c r="F93" s="9" t="str">
        <f aca="false">IFERROR(INDEX(exercicio!$B$2:$B$190,MATCH(B93,exercicio!$A$2:$A$190,0)),"")</f>
        <v>Superman</v>
      </c>
      <c r="G93" s="8" t="b">
        <f aca="false">COUNTIF(exercicio_equipamento!$A$2:$A$400,B93)=0</f>
        <v>1</v>
      </c>
    </row>
    <row r="94" customFormat="false" ht="15" hidden="false" customHeight="false" outlineLevel="0" collapsed="false">
      <c r="A94" s="6" t="n">
        <v>28</v>
      </c>
      <c r="B94" s="6" t="n">
        <v>50</v>
      </c>
      <c r="C94" s="6" t="n">
        <v>2</v>
      </c>
      <c r="D94" s="7"/>
      <c r="E94" s="9" t="str">
        <f aca="false">IFERROR(INDEX(exercicio!$B$2:$B$190,MATCH(A94,exercicio!$A$2:$A$190,0)),"")</f>
        <v>Good Morning</v>
      </c>
      <c r="F94" s="9" t="str">
        <f aca="false">IFERROR(INDEX(exercicio!$B$2:$B$190,MATCH(B94,exercicio!$A$2:$A$190,0)),"")</f>
        <v>Stiff</v>
      </c>
      <c r="G94" s="8" t="b">
        <f aca="false">COUNTIF(exercicio_equipamento!$A$2:$A$400,B94)=0</f>
        <v>0</v>
      </c>
    </row>
    <row r="95" customFormat="false" ht="15" hidden="false" customHeight="false" outlineLevel="0" collapsed="false">
      <c r="A95" s="6" t="n">
        <v>28</v>
      </c>
      <c r="B95" s="6" t="n">
        <v>27</v>
      </c>
      <c r="C95" s="6" t="n">
        <v>3</v>
      </c>
      <c r="D95" s="7"/>
      <c r="E95" s="9" t="str">
        <f aca="false">IFERROR(INDEX(exercicio!$B$2:$B$190,MATCH(A95,exercicio!$A$2:$A$190,0)),"")</f>
        <v>Good Morning</v>
      </c>
      <c r="F95" s="9" t="str">
        <f aca="false">IFERROR(INDEX(exercicio!$B$2:$B$190,MATCH(B95,exercicio!$A$2:$A$190,0)),"")</f>
        <v>Hiperextensão Lombar</v>
      </c>
      <c r="G95" s="8" t="b">
        <f aca="false">COUNTIF(exercicio_equipamento!$A$2:$A$400,B95)=0</f>
        <v>0</v>
      </c>
    </row>
    <row r="96" customFormat="false" ht="15" hidden="false" customHeight="false" outlineLevel="0" collapsed="false">
      <c r="A96" s="6" t="n">
        <v>29</v>
      </c>
      <c r="B96" s="6" t="n">
        <v>53</v>
      </c>
      <c r="C96" s="6" t="n">
        <v>1</v>
      </c>
      <c r="D96" s="7"/>
      <c r="E96" s="9" t="str">
        <f aca="false">IFERROR(INDEX(exercicio!$B$2:$B$190,MATCH(A96,exercicio!$A$2:$A$190,0)),"")</f>
        <v>Superman</v>
      </c>
      <c r="F96" s="9" t="str">
        <f aca="false">IFERROR(INDEX(exercicio!$B$2:$B$190,MATCH(B96,exercicio!$A$2:$A$190,0)),"")</f>
        <v>Elevação Pélvica com Peso do Corpo</v>
      </c>
      <c r="G96" s="8" t="b">
        <f aca="false">COUNTIF(exercicio_equipamento!$A$2:$A$400,B96)=0</f>
        <v>1</v>
      </c>
    </row>
    <row r="97" customFormat="false" ht="15" hidden="false" customHeight="false" outlineLevel="0" collapsed="false">
      <c r="A97" s="6" t="n">
        <v>29</v>
      </c>
      <c r="B97" s="6" t="n">
        <v>27</v>
      </c>
      <c r="C97" s="6" t="n">
        <v>2</v>
      </c>
      <c r="D97" s="7"/>
      <c r="E97" s="9" t="str">
        <f aca="false">IFERROR(INDEX(exercicio!$B$2:$B$190,MATCH(A97,exercicio!$A$2:$A$190,0)),"")</f>
        <v>Superman</v>
      </c>
      <c r="F97" s="9" t="str">
        <f aca="false">IFERROR(INDEX(exercicio!$B$2:$B$190,MATCH(B97,exercicio!$A$2:$A$190,0)),"")</f>
        <v>Hiperextensão Lombar</v>
      </c>
      <c r="G97" s="8" t="b">
        <f aca="false">COUNTIF(exercicio_equipamento!$A$2:$A$400,B97)=0</f>
        <v>0</v>
      </c>
    </row>
    <row r="98" customFormat="false" ht="15" hidden="false" customHeight="false" outlineLevel="0" collapsed="false">
      <c r="A98" s="6" t="n">
        <v>29</v>
      </c>
      <c r="B98" s="6" t="n">
        <v>28</v>
      </c>
      <c r="C98" s="6" t="n">
        <v>3</v>
      </c>
      <c r="D98" s="7"/>
      <c r="E98" s="9" t="str">
        <f aca="false">IFERROR(INDEX(exercicio!$B$2:$B$190,MATCH(A98,exercicio!$A$2:$A$190,0)),"")</f>
        <v>Superman</v>
      </c>
      <c r="F98" s="9" t="str">
        <f aca="false">IFERROR(INDEX(exercicio!$B$2:$B$190,MATCH(B98,exercicio!$A$2:$A$190,0)),"")</f>
        <v>Good Morning</v>
      </c>
      <c r="G98" s="8" t="b">
        <f aca="false">COUNTIF(exercicio_equipamento!$A$2:$A$400,B98)=0</f>
        <v>0</v>
      </c>
    </row>
    <row r="99" customFormat="false" ht="15" hidden="false" customHeight="false" outlineLevel="0" collapsed="false">
      <c r="A99" s="6" t="n">
        <v>30</v>
      </c>
      <c r="B99" s="6" t="n">
        <v>34</v>
      </c>
      <c r="C99" s="6" t="n">
        <v>1</v>
      </c>
      <c r="D99" s="7" t="s">
        <v>433</v>
      </c>
      <c r="E99" s="9" t="str">
        <f aca="false">IFERROR(INDEX(exercicio!$B$2:$B$190,MATCH(A99,exercicio!$A$2:$A$190,0)),"")</f>
        <v>Rosca Direta na Polia Baixa</v>
      </c>
      <c r="F99" s="9" t="str">
        <f aca="false">IFERROR(INDEX(exercicio!$B$2:$B$190,MATCH(B99,exercicio!$A$2:$A$190,0)),"")</f>
        <v>Rosca de Bíceps com Autorresistência</v>
      </c>
      <c r="G99" s="8" t="b">
        <f aca="false">COUNTIF(exercicio_equipamento!$A$2:$A$400,B99)=0</f>
        <v>1</v>
      </c>
    </row>
    <row r="100" customFormat="false" ht="15" hidden="false" customHeight="false" outlineLevel="0" collapsed="false">
      <c r="A100" s="6" t="n">
        <v>30</v>
      </c>
      <c r="B100" s="6" t="n">
        <v>78</v>
      </c>
      <c r="C100" s="6" t="n">
        <v>2</v>
      </c>
      <c r="D100" s="7"/>
      <c r="E100" s="9" t="str">
        <f aca="false">IFERROR(INDEX(exercicio!$B$2:$B$190,MATCH(A100,exercicio!$A$2:$A$190,0)),"")</f>
        <v>Rosca Direta na Polia Baixa</v>
      </c>
      <c r="F100" s="9" t="str">
        <f aca="false">IFERROR(INDEX(exercicio!$B$2:$B$190,MATCH(B100,exercicio!$A$2:$A$190,0)),"")</f>
        <v>Rosca Martelo</v>
      </c>
      <c r="G100" s="8" t="b">
        <f aca="false">COUNTIF(exercicio_equipamento!$A$2:$A$400,B100)=0</f>
        <v>0</v>
      </c>
    </row>
    <row r="101" customFormat="false" ht="15" hidden="false" customHeight="false" outlineLevel="0" collapsed="false">
      <c r="A101" s="6" t="n">
        <v>30</v>
      </c>
      <c r="B101" s="6" t="n">
        <v>33</v>
      </c>
      <c r="C101" s="6" t="n">
        <v>3</v>
      </c>
      <c r="D101" s="7"/>
      <c r="E101" s="9" t="str">
        <f aca="false">IFERROR(INDEX(exercicio!$B$2:$B$190,MATCH(A101,exercicio!$A$2:$A$190,0)),"")</f>
        <v>Rosca Direta na Polia Baixa</v>
      </c>
      <c r="F101" s="9" t="str">
        <f aca="false">IFERROR(INDEX(exercicio!$B$2:$B$190,MATCH(B101,exercicio!$A$2:$A$190,0)),"")</f>
        <v>Rosca Scott com Halteres</v>
      </c>
      <c r="G101" s="8" t="b">
        <f aca="false">COUNTIF(exercicio_equipamento!$A$2:$A$400,B101)=0</f>
        <v>0</v>
      </c>
    </row>
    <row r="102" customFormat="false" ht="15" hidden="false" customHeight="false" outlineLevel="0" collapsed="false">
      <c r="A102" s="6" t="n">
        <v>30</v>
      </c>
      <c r="B102" s="6" t="n">
        <v>32</v>
      </c>
      <c r="C102" s="6" t="n">
        <v>4</v>
      </c>
      <c r="D102" s="7"/>
      <c r="E102" s="9" t="str">
        <f aca="false">IFERROR(INDEX(exercicio!$B$2:$B$190,MATCH(A102,exercicio!$A$2:$A$190,0)),"")</f>
        <v>Rosca Direta na Polia Baixa</v>
      </c>
      <c r="F102" s="9" t="str">
        <f aca="false">IFERROR(INDEX(exercicio!$B$2:$B$190,MATCH(B102,exercicio!$A$2:$A$190,0)),"")</f>
        <v>Rosca Inclinada com Halteres</v>
      </c>
      <c r="G102" s="8" t="b">
        <f aca="false">COUNTIF(exercicio_equipamento!$A$2:$A$400,B102)=0</f>
        <v>0</v>
      </c>
    </row>
    <row r="103" customFormat="false" ht="15" hidden="false" customHeight="false" outlineLevel="0" collapsed="false">
      <c r="A103" s="6" t="n">
        <v>31</v>
      </c>
      <c r="B103" s="6" t="n">
        <v>33</v>
      </c>
      <c r="C103" s="6" t="n">
        <v>1</v>
      </c>
      <c r="D103" s="7"/>
      <c r="E103" s="9" t="str">
        <f aca="false">IFERROR(INDEX(exercicio!$B$2:$B$190,MATCH(A103,exercicio!$A$2:$A$190,0)),"")</f>
        <v>Rosca Scott na Máquina</v>
      </c>
      <c r="F103" s="9" t="str">
        <f aca="false">IFERROR(INDEX(exercicio!$B$2:$B$190,MATCH(B103,exercicio!$A$2:$A$190,0)),"")</f>
        <v>Rosca Scott com Halteres</v>
      </c>
      <c r="G103" s="8" t="b">
        <f aca="false">COUNTIF(exercicio_equipamento!$A$2:$A$400,B103)=0</f>
        <v>0</v>
      </c>
    </row>
    <row r="104" customFormat="false" ht="15" hidden="false" customHeight="false" outlineLevel="0" collapsed="false">
      <c r="A104" s="6" t="n">
        <v>31</v>
      </c>
      <c r="B104" s="6" t="n">
        <v>34</v>
      </c>
      <c r="C104" s="6" t="n">
        <v>2</v>
      </c>
      <c r="D104" s="7" t="s">
        <v>433</v>
      </c>
      <c r="E104" s="9" t="str">
        <f aca="false">IFERROR(INDEX(exercicio!$B$2:$B$190,MATCH(A104,exercicio!$A$2:$A$190,0)),"")</f>
        <v>Rosca Scott na Máquina</v>
      </c>
      <c r="F104" s="9" t="str">
        <f aca="false">IFERROR(INDEX(exercicio!$B$2:$B$190,MATCH(B104,exercicio!$A$2:$A$190,0)),"")</f>
        <v>Rosca de Bíceps com Autorresistência</v>
      </c>
      <c r="G104" s="8" t="b">
        <f aca="false">COUNTIF(exercicio_equipamento!$A$2:$A$400,B104)=0</f>
        <v>1</v>
      </c>
    </row>
    <row r="105" customFormat="false" ht="15" hidden="false" customHeight="false" outlineLevel="0" collapsed="false">
      <c r="A105" s="6" t="n">
        <v>31</v>
      </c>
      <c r="B105" s="6" t="n">
        <v>32</v>
      </c>
      <c r="C105" s="6" t="n">
        <v>3</v>
      </c>
      <c r="D105" s="7"/>
      <c r="E105" s="9" t="str">
        <f aca="false">IFERROR(INDEX(exercicio!$B$2:$B$190,MATCH(A105,exercicio!$A$2:$A$190,0)),"")</f>
        <v>Rosca Scott na Máquina</v>
      </c>
      <c r="F105" s="9" t="str">
        <f aca="false">IFERROR(INDEX(exercicio!$B$2:$B$190,MATCH(B105,exercicio!$A$2:$A$190,0)),"")</f>
        <v>Rosca Inclinada com Halteres</v>
      </c>
      <c r="G105" s="8" t="b">
        <f aca="false">COUNTIF(exercicio_equipamento!$A$2:$A$400,B105)=0</f>
        <v>0</v>
      </c>
    </row>
    <row r="106" customFormat="false" ht="15" hidden="false" customHeight="false" outlineLevel="0" collapsed="false">
      <c r="A106" s="6" t="n">
        <v>32</v>
      </c>
      <c r="B106" s="6" t="n">
        <v>79</v>
      </c>
      <c r="C106" s="6" t="n">
        <v>1</v>
      </c>
      <c r="D106" s="7"/>
      <c r="E106" s="9" t="str">
        <f aca="false">IFERROR(INDEX(exercicio!$B$2:$B$190,MATCH(A106,exercicio!$A$2:$A$190,0)),"")</f>
        <v>Rosca Inclinada com Halteres</v>
      </c>
      <c r="F106" s="9" t="str">
        <f aca="false">IFERROR(INDEX(exercicio!$B$2:$B$190,MATCH(B106,exercicio!$A$2:$A$190,0)),"")</f>
        <v>Rosca por Trás do Corpo na Polia</v>
      </c>
      <c r="G106" s="8" t="b">
        <f aca="false">COUNTIF(exercicio_equipamento!$A$2:$A$400,B106)=0</f>
        <v>0</v>
      </c>
    </row>
    <row r="107" customFormat="false" ht="15" hidden="false" customHeight="false" outlineLevel="0" collapsed="false">
      <c r="A107" s="6" t="n">
        <v>32</v>
      </c>
      <c r="B107" s="6" t="n">
        <v>33</v>
      </c>
      <c r="C107" s="6" t="n">
        <v>2</v>
      </c>
      <c r="D107" s="7"/>
      <c r="E107" s="9" t="str">
        <f aca="false">IFERROR(INDEX(exercicio!$B$2:$B$190,MATCH(A107,exercicio!$A$2:$A$190,0)),"")</f>
        <v>Rosca Inclinada com Halteres</v>
      </c>
      <c r="F107" s="9" t="str">
        <f aca="false">IFERROR(INDEX(exercicio!$B$2:$B$190,MATCH(B107,exercicio!$A$2:$A$190,0)),"")</f>
        <v>Rosca Scott com Halteres</v>
      </c>
      <c r="G107" s="8" t="b">
        <f aca="false">COUNTIF(exercicio_equipamento!$A$2:$A$400,B107)=0</f>
        <v>0</v>
      </c>
    </row>
    <row r="108" customFormat="false" ht="15" hidden="false" customHeight="false" outlineLevel="0" collapsed="false">
      <c r="A108" s="6" t="n">
        <v>32</v>
      </c>
      <c r="B108" s="6" t="n">
        <v>34</v>
      </c>
      <c r="C108" s="6" t="n">
        <v>3</v>
      </c>
      <c r="D108" s="7" t="s">
        <v>433</v>
      </c>
      <c r="E108" s="9" t="str">
        <f aca="false">IFERROR(INDEX(exercicio!$B$2:$B$190,MATCH(A108,exercicio!$A$2:$A$190,0)),"")</f>
        <v>Rosca Inclinada com Halteres</v>
      </c>
      <c r="F108" s="9" t="str">
        <f aca="false">IFERROR(INDEX(exercicio!$B$2:$B$190,MATCH(B108,exercicio!$A$2:$A$190,0)),"")</f>
        <v>Rosca de Bíceps com Autorresistência</v>
      </c>
      <c r="G108" s="8" t="b">
        <f aca="false">COUNTIF(exercicio_equipamento!$A$2:$A$400,B108)=0</f>
        <v>1</v>
      </c>
    </row>
    <row r="109" customFormat="false" ht="15" hidden="false" customHeight="false" outlineLevel="0" collapsed="false">
      <c r="A109" s="6" t="n">
        <v>33</v>
      </c>
      <c r="B109" s="6" t="n">
        <v>31</v>
      </c>
      <c r="C109" s="6" t="n">
        <v>1</v>
      </c>
      <c r="D109" s="7"/>
      <c r="E109" s="9" t="str">
        <f aca="false">IFERROR(INDEX(exercicio!$B$2:$B$190,MATCH(A109,exercicio!$A$2:$A$190,0)),"")</f>
        <v>Rosca Scott com Halteres</v>
      </c>
      <c r="F109" s="9" t="str">
        <f aca="false">IFERROR(INDEX(exercicio!$B$2:$B$190,MATCH(B109,exercicio!$A$2:$A$190,0)),"")</f>
        <v>Rosca Scott na Máquina</v>
      </c>
      <c r="G109" s="8" t="b">
        <f aca="false">COUNTIF(exercicio_equipamento!$A$2:$A$400,B109)=0</f>
        <v>0</v>
      </c>
    </row>
    <row r="110" customFormat="false" ht="15" hidden="false" customHeight="false" outlineLevel="0" collapsed="false">
      <c r="A110" s="6" t="n">
        <v>33</v>
      </c>
      <c r="B110" s="6" t="n">
        <v>32</v>
      </c>
      <c r="C110" s="6" t="n">
        <v>2</v>
      </c>
      <c r="D110" s="7"/>
      <c r="E110" s="9" t="str">
        <f aca="false">IFERROR(INDEX(exercicio!$B$2:$B$190,MATCH(A110,exercicio!$A$2:$A$190,0)),"")</f>
        <v>Rosca Scott com Halteres</v>
      </c>
      <c r="F110" s="9" t="str">
        <f aca="false">IFERROR(INDEX(exercicio!$B$2:$B$190,MATCH(B110,exercicio!$A$2:$A$190,0)),"")</f>
        <v>Rosca Inclinada com Halteres</v>
      </c>
      <c r="G110" s="8" t="b">
        <f aca="false">COUNTIF(exercicio_equipamento!$A$2:$A$400,B110)=0</f>
        <v>0</v>
      </c>
    </row>
    <row r="111" customFormat="false" ht="15" hidden="false" customHeight="false" outlineLevel="0" collapsed="false">
      <c r="A111" s="6" t="n">
        <v>33</v>
      </c>
      <c r="B111" s="6" t="n">
        <v>34</v>
      </c>
      <c r="C111" s="6" t="n">
        <v>3</v>
      </c>
      <c r="D111" s="7" t="s">
        <v>433</v>
      </c>
      <c r="E111" s="9" t="str">
        <f aca="false">IFERROR(INDEX(exercicio!$B$2:$B$190,MATCH(A111,exercicio!$A$2:$A$190,0)),"")</f>
        <v>Rosca Scott com Halteres</v>
      </c>
      <c r="F111" s="9" t="str">
        <f aca="false">IFERROR(INDEX(exercicio!$B$2:$B$190,MATCH(B111,exercicio!$A$2:$A$190,0)),"")</f>
        <v>Rosca de Bíceps com Autorresistência</v>
      </c>
      <c r="G111" s="8" t="b">
        <f aca="false">COUNTIF(exercicio_equipamento!$A$2:$A$400,B111)=0</f>
        <v>1</v>
      </c>
    </row>
    <row r="112" customFormat="false" ht="15" hidden="false" customHeight="false" outlineLevel="0" collapsed="false">
      <c r="A112" s="6" t="n">
        <v>34</v>
      </c>
      <c r="B112" s="6" t="n">
        <v>30</v>
      </c>
      <c r="C112" s="6" t="n">
        <v>1</v>
      </c>
      <c r="D112" s="7"/>
      <c r="E112" s="9" t="str">
        <f aca="false">IFERROR(INDEX(exercicio!$B$2:$B$190,MATCH(A112,exercicio!$A$2:$A$190,0)),"")</f>
        <v>Rosca de Bíceps com Autorresistência</v>
      </c>
      <c r="F112" s="9" t="str">
        <f aca="false">IFERROR(INDEX(exercicio!$B$2:$B$190,MATCH(B112,exercicio!$A$2:$A$190,0)),"")</f>
        <v>Rosca Direta na Polia Baixa</v>
      </c>
      <c r="G112" s="8" t="b">
        <f aca="false">COUNTIF(exercicio_equipamento!$A$2:$A$400,B112)=0</f>
        <v>0</v>
      </c>
    </row>
    <row r="113" customFormat="false" ht="15" hidden="false" customHeight="false" outlineLevel="0" collapsed="false">
      <c r="A113" s="6" t="n">
        <v>34</v>
      </c>
      <c r="B113" s="6" t="n">
        <v>78</v>
      </c>
      <c r="C113" s="6" t="n">
        <v>2</v>
      </c>
      <c r="D113" s="7"/>
      <c r="E113" s="9" t="str">
        <f aca="false">IFERROR(INDEX(exercicio!$B$2:$B$190,MATCH(A113,exercicio!$A$2:$A$190,0)),"")</f>
        <v>Rosca de Bíceps com Autorresistência</v>
      </c>
      <c r="F113" s="9" t="str">
        <f aca="false">IFERROR(INDEX(exercicio!$B$2:$B$190,MATCH(B113,exercicio!$A$2:$A$190,0)),"")</f>
        <v>Rosca Martelo</v>
      </c>
      <c r="G113" s="8" t="b">
        <f aca="false">COUNTIF(exercicio_equipamento!$A$2:$A$400,B113)=0</f>
        <v>0</v>
      </c>
    </row>
    <row r="114" customFormat="false" ht="15" hidden="false" customHeight="false" outlineLevel="0" collapsed="false">
      <c r="A114" s="6" t="n">
        <v>34</v>
      </c>
      <c r="B114" s="6" t="n">
        <v>33</v>
      </c>
      <c r="C114" s="6" t="n">
        <v>3</v>
      </c>
      <c r="D114" s="7"/>
      <c r="E114" s="9" t="str">
        <f aca="false">IFERROR(INDEX(exercicio!$B$2:$B$190,MATCH(A114,exercicio!$A$2:$A$190,0)),"")</f>
        <v>Rosca de Bíceps com Autorresistência</v>
      </c>
      <c r="F114" s="9" t="str">
        <f aca="false">IFERROR(INDEX(exercicio!$B$2:$B$190,MATCH(B114,exercicio!$A$2:$A$190,0)),"")</f>
        <v>Rosca Scott com Halteres</v>
      </c>
      <c r="G114" s="8" t="b">
        <f aca="false">COUNTIF(exercicio_equipamento!$A$2:$A$400,B114)=0</f>
        <v>0</v>
      </c>
    </row>
    <row r="115" customFormat="false" ht="15" hidden="false" customHeight="false" outlineLevel="0" collapsed="false">
      <c r="A115" s="6" t="n">
        <v>35</v>
      </c>
      <c r="B115" s="6" t="n">
        <v>8</v>
      </c>
      <c r="C115" s="6" t="n">
        <v>1</v>
      </c>
      <c r="D115" s="7"/>
      <c r="E115" s="9" t="str">
        <f aca="false">IFERROR(INDEX(exercicio!$B$2:$B$190,MATCH(A115,exercicio!$A$2:$A$190,0)),"")</f>
        <v>Tríceps Pulley</v>
      </c>
      <c r="F115" s="9" t="str">
        <f aca="false">IFERROR(INDEX(exercicio!$B$2:$B$190,MATCH(B115,exercicio!$A$2:$A$190,0)),"")</f>
        <v>Flexão Diamante</v>
      </c>
      <c r="G115" s="8" t="b">
        <f aca="false">COUNTIF(exercicio_equipamento!$A$2:$A$400,B115)=0</f>
        <v>1</v>
      </c>
    </row>
    <row r="116" customFormat="false" ht="15" hidden="false" customHeight="false" outlineLevel="0" collapsed="false">
      <c r="A116" s="6" t="n">
        <v>35</v>
      </c>
      <c r="B116" s="6" t="n">
        <v>7</v>
      </c>
      <c r="C116" s="6" t="n">
        <v>2</v>
      </c>
      <c r="D116" s="7"/>
      <c r="E116" s="9" t="str">
        <f aca="false">IFERROR(INDEX(exercicio!$B$2:$B$190,MATCH(A116,exercicio!$A$2:$A$190,0)),"")</f>
        <v>Tríceps Pulley</v>
      </c>
      <c r="F116" s="9" t="str">
        <f aca="false">IFERROR(INDEX(exercicio!$B$2:$B$190,MATCH(B116,exercicio!$A$2:$A$190,0)),"")</f>
        <v>Mergulho em Paralelas</v>
      </c>
      <c r="G116" s="8" t="b">
        <f aca="false">COUNTIF(exercicio_equipamento!$A$2:$A$400,B116)=0</f>
        <v>0</v>
      </c>
    </row>
    <row r="117" customFormat="false" ht="15" hidden="false" customHeight="false" outlineLevel="0" collapsed="false">
      <c r="A117" s="6" t="n">
        <v>35</v>
      </c>
      <c r="B117" s="6" t="n">
        <v>36</v>
      </c>
      <c r="C117" s="6" t="n">
        <v>3</v>
      </c>
      <c r="D117" s="7"/>
      <c r="E117" s="9" t="str">
        <f aca="false">IFERROR(INDEX(exercicio!$B$2:$B$190,MATCH(A117,exercicio!$A$2:$A$190,0)),"")</f>
        <v>Tríceps Pulley</v>
      </c>
      <c r="F117" s="9" t="str">
        <f aca="false">IFERROR(INDEX(exercicio!$B$2:$B$190,MATCH(B117,exercicio!$A$2:$A$190,0)),"")</f>
        <v>Tríceps Testa na Polia</v>
      </c>
      <c r="G117" s="8" t="b">
        <f aca="false">COUNTIF(exercicio_equipamento!$A$2:$A$400,B117)=0</f>
        <v>0</v>
      </c>
    </row>
    <row r="118" customFormat="false" ht="15" hidden="false" customHeight="false" outlineLevel="0" collapsed="false">
      <c r="A118" s="6" t="n">
        <v>35</v>
      </c>
      <c r="B118" s="6" t="n">
        <v>37</v>
      </c>
      <c r="C118" s="6" t="n">
        <v>4</v>
      </c>
      <c r="D118" s="7"/>
      <c r="E118" s="9" t="str">
        <f aca="false">IFERROR(INDEX(exercicio!$B$2:$B$190,MATCH(A118,exercicio!$A$2:$A$190,0)),"")</f>
        <v>Tríceps Pulley</v>
      </c>
      <c r="F118" s="9" t="str">
        <f aca="false">IFERROR(INDEX(exercicio!$B$2:$B$190,MATCH(B118,exercicio!$A$2:$A$190,0)),"")</f>
        <v>Tríceps Francês na Polia</v>
      </c>
      <c r="G118" s="8" t="b">
        <f aca="false">COUNTIF(exercicio_equipamento!$A$2:$A$400,B118)=0</f>
        <v>0</v>
      </c>
    </row>
    <row r="119" customFormat="false" ht="15" hidden="false" customHeight="false" outlineLevel="0" collapsed="false">
      <c r="A119" s="6" t="n">
        <v>36</v>
      </c>
      <c r="B119" s="6" t="n">
        <v>8</v>
      </c>
      <c r="C119" s="6" t="n">
        <v>1</v>
      </c>
      <c r="D119" s="7"/>
      <c r="E119" s="9" t="str">
        <f aca="false">IFERROR(INDEX(exercicio!$B$2:$B$190,MATCH(A119,exercicio!$A$2:$A$190,0)),"")</f>
        <v>Tríceps Testa na Polia</v>
      </c>
      <c r="F119" s="9" t="str">
        <f aca="false">IFERROR(INDEX(exercicio!$B$2:$B$190,MATCH(B119,exercicio!$A$2:$A$190,0)),"")</f>
        <v>Flexão Diamante</v>
      </c>
      <c r="G119" s="8" t="b">
        <f aca="false">COUNTIF(exercicio_equipamento!$A$2:$A$400,B119)=0</f>
        <v>1</v>
      </c>
    </row>
    <row r="120" customFormat="false" ht="15" hidden="false" customHeight="false" outlineLevel="0" collapsed="false">
      <c r="A120" s="6" t="n">
        <v>36</v>
      </c>
      <c r="B120" s="6" t="n">
        <v>80</v>
      </c>
      <c r="C120" s="6" t="n">
        <v>2</v>
      </c>
      <c r="D120" s="7"/>
      <c r="E120" s="9" t="str">
        <f aca="false">IFERROR(INDEX(exercicio!$B$2:$B$190,MATCH(A120,exercicio!$A$2:$A$190,0)),"")</f>
        <v>Tríceps Testa na Polia</v>
      </c>
      <c r="F120" s="9" t="str">
        <f aca="false">IFERROR(INDEX(exercicio!$B$2:$B$190,MATCH(B120,exercicio!$A$2:$A$190,0)),"")</f>
        <v>Tríceps Testa com Barra W</v>
      </c>
      <c r="G120" s="8" t="b">
        <f aca="false">COUNTIF(exercicio_equipamento!$A$2:$A$400,B120)=0</f>
        <v>0</v>
      </c>
    </row>
    <row r="121" customFormat="false" ht="15" hidden="false" customHeight="false" outlineLevel="0" collapsed="false">
      <c r="A121" s="6" t="n">
        <v>36</v>
      </c>
      <c r="B121" s="6" t="n">
        <v>37</v>
      </c>
      <c r="C121" s="6" t="n">
        <v>3</v>
      </c>
      <c r="D121" s="7"/>
      <c r="E121" s="9" t="str">
        <f aca="false">IFERROR(INDEX(exercicio!$B$2:$B$190,MATCH(A121,exercicio!$A$2:$A$190,0)),"")</f>
        <v>Tríceps Testa na Polia</v>
      </c>
      <c r="F121" s="9" t="str">
        <f aca="false">IFERROR(INDEX(exercicio!$B$2:$B$190,MATCH(B121,exercicio!$A$2:$A$190,0)),"")</f>
        <v>Tríceps Francês na Polia</v>
      </c>
      <c r="G121" s="8" t="b">
        <f aca="false">COUNTIF(exercicio_equipamento!$A$2:$A$400,B121)=0</f>
        <v>0</v>
      </c>
    </row>
    <row r="122" customFormat="false" ht="15" hidden="false" customHeight="false" outlineLevel="0" collapsed="false">
      <c r="A122" s="6" t="n">
        <v>37</v>
      </c>
      <c r="B122" s="6" t="n">
        <v>8</v>
      </c>
      <c r="C122" s="6" t="n">
        <v>1</v>
      </c>
      <c r="D122" s="7"/>
      <c r="E122" s="9" t="str">
        <f aca="false">IFERROR(INDEX(exercicio!$B$2:$B$190,MATCH(A122,exercicio!$A$2:$A$190,0)),"")</f>
        <v>Tríceps Francês na Polia</v>
      </c>
      <c r="F122" s="9" t="str">
        <f aca="false">IFERROR(INDEX(exercicio!$B$2:$B$190,MATCH(B122,exercicio!$A$2:$A$190,0)),"")</f>
        <v>Flexão Diamante</v>
      </c>
      <c r="G122" s="8" t="b">
        <f aca="false">COUNTIF(exercicio_equipamento!$A$2:$A$400,B122)=0</f>
        <v>1</v>
      </c>
    </row>
    <row r="123" customFormat="false" ht="15" hidden="false" customHeight="false" outlineLevel="0" collapsed="false">
      <c r="A123" s="6" t="n">
        <v>37</v>
      </c>
      <c r="B123" s="6" t="n">
        <v>80</v>
      </c>
      <c r="C123" s="6" t="n">
        <v>2</v>
      </c>
      <c r="D123" s="7"/>
      <c r="E123" s="9" t="str">
        <f aca="false">IFERROR(INDEX(exercicio!$B$2:$B$190,MATCH(A123,exercicio!$A$2:$A$190,0)),"")</f>
        <v>Tríceps Francês na Polia</v>
      </c>
      <c r="F123" s="9" t="str">
        <f aca="false">IFERROR(INDEX(exercicio!$B$2:$B$190,MATCH(B123,exercicio!$A$2:$A$190,0)),"")</f>
        <v>Tríceps Testa com Barra W</v>
      </c>
      <c r="G123" s="8" t="b">
        <f aca="false">COUNTIF(exercicio_equipamento!$A$2:$A$400,B123)=0</f>
        <v>0</v>
      </c>
    </row>
    <row r="124" customFormat="false" ht="15" hidden="false" customHeight="false" outlineLevel="0" collapsed="false">
      <c r="A124" s="6" t="n">
        <v>37</v>
      </c>
      <c r="B124" s="6" t="n">
        <v>36</v>
      </c>
      <c r="C124" s="6" t="n">
        <v>3</v>
      </c>
      <c r="D124" s="7"/>
      <c r="E124" s="9" t="str">
        <f aca="false">IFERROR(INDEX(exercicio!$B$2:$B$190,MATCH(A124,exercicio!$A$2:$A$190,0)),"")</f>
        <v>Tríceps Francês na Polia</v>
      </c>
      <c r="F124" s="9" t="str">
        <f aca="false">IFERROR(INDEX(exercicio!$B$2:$B$190,MATCH(B124,exercicio!$A$2:$A$190,0)),"")</f>
        <v>Tríceps Testa na Polia</v>
      </c>
      <c r="G124" s="8" t="b">
        <f aca="false">COUNTIF(exercicio_equipamento!$A$2:$A$400,B124)=0</f>
        <v>0</v>
      </c>
    </row>
    <row r="125" customFormat="false" ht="15" hidden="false" customHeight="false" outlineLevel="0" collapsed="false">
      <c r="A125" s="6" t="n">
        <v>37</v>
      </c>
      <c r="B125" s="6" t="n">
        <v>7</v>
      </c>
      <c r="C125" s="6" t="n">
        <v>4</v>
      </c>
      <c r="D125" s="7"/>
      <c r="E125" s="9" t="str">
        <f aca="false">IFERROR(INDEX(exercicio!$B$2:$B$190,MATCH(A125,exercicio!$A$2:$A$190,0)),"")</f>
        <v>Tríceps Francês na Polia</v>
      </c>
      <c r="F125" s="9" t="str">
        <f aca="false">IFERROR(INDEX(exercicio!$B$2:$B$190,MATCH(B125,exercicio!$A$2:$A$190,0)),"")</f>
        <v>Mergulho em Paralelas</v>
      </c>
      <c r="G125" s="8" t="b">
        <f aca="false">COUNTIF(exercicio_equipamento!$A$2:$A$400,B125)=0</f>
        <v>0</v>
      </c>
    </row>
    <row r="126" customFormat="false" ht="15" hidden="false" customHeight="false" outlineLevel="0" collapsed="false">
      <c r="A126" s="6" t="n">
        <v>38</v>
      </c>
      <c r="B126" s="6" t="n">
        <v>10</v>
      </c>
      <c r="C126" s="6" t="n">
        <v>1</v>
      </c>
      <c r="D126" s="7"/>
      <c r="E126" s="9" t="str">
        <f aca="false">IFERROR(INDEX(exercicio!$B$2:$B$190,MATCH(A126,exercicio!$A$2:$A$190,0)),"")</f>
        <v>Rosca de Punho com Halteres</v>
      </c>
      <c r="F126" s="9" t="str">
        <f aca="false">IFERROR(INDEX(exercicio!$B$2:$B$190,MATCH(B126,exercicio!$A$2:$A$190,0)),"")</f>
        <v>Flexão nas Pontas dos Dedos</v>
      </c>
      <c r="G126" s="8" t="b">
        <f aca="false">COUNTIF(exercicio_equipamento!$A$2:$A$400,B126)=0</f>
        <v>1</v>
      </c>
    </row>
    <row r="127" customFormat="false" ht="15" hidden="false" customHeight="false" outlineLevel="0" collapsed="false">
      <c r="A127" s="6" t="n">
        <v>38</v>
      </c>
      <c r="B127" s="6" t="n">
        <v>39</v>
      </c>
      <c r="C127" s="6" t="n">
        <v>2</v>
      </c>
      <c r="D127" s="7"/>
      <c r="E127" s="9" t="str">
        <f aca="false">IFERROR(INDEX(exercicio!$B$2:$B$190,MATCH(A127,exercicio!$A$2:$A$190,0)),"")</f>
        <v>Rosca de Punho com Halteres</v>
      </c>
      <c r="F127" s="9" t="str">
        <f aca="false">IFERROR(INDEX(exercicio!$B$2:$B$190,MATCH(B127,exercicio!$A$2:$A$190,0)),"")</f>
        <v>Rosca de Punho com Barra</v>
      </c>
      <c r="G127" s="8" t="b">
        <f aca="false">COUNTIF(exercicio_equipamento!$A$2:$A$400,B127)=0</f>
        <v>0</v>
      </c>
    </row>
    <row r="128" customFormat="false" ht="15" hidden="false" customHeight="false" outlineLevel="0" collapsed="false">
      <c r="A128" s="6" t="n">
        <v>38</v>
      </c>
      <c r="B128" s="6" t="n">
        <v>40</v>
      </c>
      <c r="C128" s="6" t="n">
        <v>3</v>
      </c>
      <c r="D128" s="7"/>
      <c r="E128" s="9" t="str">
        <f aca="false">IFERROR(INDEX(exercicio!$B$2:$B$190,MATCH(A128,exercicio!$A$2:$A$190,0)),"")</f>
        <v>Rosca de Punho com Halteres</v>
      </c>
      <c r="F128" s="9" t="str">
        <f aca="false">IFERROR(INDEX(exercicio!$B$2:$B$190,MATCH(B128,exercicio!$A$2:$A$190,0)),"")</f>
        <v>Rosca de Punho Reversa com Halteres</v>
      </c>
      <c r="G128" s="8" t="b">
        <f aca="false">COUNTIF(exercicio_equipamento!$A$2:$A$400,B128)=0</f>
        <v>0</v>
      </c>
    </row>
    <row r="129" customFormat="false" ht="15" hidden="false" customHeight="false" outlineLevel="0" collapsed="false">
      <c r="A129" s="6" t="n">
        <v>39</v>
      </c>
      <c r="B129" s="6" t="n">
        <v>10</v>
      </c>
      <c r="C129" s="6" t="n">
        <v>1</v>
      </c>
      <c r="D129" s="7"/>
      <c r="E129" s="9" t="str">
        <f aca="false">IFERROR(INDEX(exercicio!$B$2:$B$190,MATCH(A129,exercicio!$A$2:$A$190,0)),"")</f>
        <v>Rosca de Punho com Barra</v>
      </c>
      <c r="F129" s="9" t="str">
        <f aca="false">IFERROR(INDEX(exercicio!$B$2:$B$190,MATCH(B129,exercicio!$A$2:$A$190,0)),"")</f>
        <v>Flexão nas Pontas dos Dedos</v>
      </c>
      <c r="G129" s="8" t="b">
        <f aca="false">COUNTIF(exercicio_equipamento!$A$2:$A$400,B129)=0</f>
        <v>1</v>
      </c>
    </row>
    <row r="130" customFormat="false" ht="15" hidden="false" customHeight="false" outlineLevel="0" collapsed="false">
      <c r="A130" s="6" t="n">
        <v>39</v>
      </c>
      <c r="B130" s="6" t="n">
        <v>38</v>
      </c>
      <c r="C130" s="6" t="n">
        <v>2</v>
      </c>
      <c r="D130" s="7"/>
      <c r="E130" s="9" t="str">
        <f aca="false">IFERROR(INDEX(exercicio!$B$2:$B$190,MATCH(A130,exercicio!$A$2:$A$190,0)),"")</f>
        <v>Rosca de Punho com Barra</v>
      </c>
      <c r="F130" s="9" t="str">
        <f aca="false">IFERROR(INDEX(exercicio!$B$2:$B$190,MATCH(B130,exercicio!$A$2:$A$190,0)),"")</f>
        <v>Rosca de Punho com Halteres</v>
      </c>
      <c r="G130" s="8" t="b">
        <f aca="false">COUNTIF(exercicio_equipamento!$A$2:$A$400,B130)=0</f>
        <v>0</v>
      </c>
    </row>
    <row r="131" customFormat="false" ht="15" hidden="false" customHeight="false" outlineLevel="0" collapsed="false">
      <c r="A131" s="6" t="n">
        <v>39</v>
      </c>
      <c r="B131" s="6" t="n">
        <v>40</v>
      </c>
      <c r="C131" s="6" t="n">
        <v>3</v>
      </c>
      <c r="D131" s="7"/>
      <c r="E131" s="9" t="str">
        <f aca="false">IFERROR(INDEX(exercicio!$B$2:$B$190,MATCH(A131,exercicio!$A$2:$A$190,0)),"")</f>
        <v>Rosca de Punho com Barra</v>
      </c>
      <c r="F131" s="9" t="str">
        <f aca="false">IFERROR(INDEX(exercicio!$B$2:$B$190,MATCH(B131,exercicio!$A$2:$A$190,0)),"")</f>
        <v>Rosca de Punho Reversa com Halteres</v>
      </c>
      <c r="G131" s="8" t="b">
        <f aca="false">COUNTIF(exercicio_equipamento!$A$2:$A$400,B131)=0</f>
        <v>0</v>
      </c>
    </row>
    <row r="132" customFormat="false" ht="15" hidden="false" customHeight="false" outlineLevel="0" collapsed="false">
      <c r="A132" s="6" t="n">
        <v>40</v>
      </c>
      <c r="B132" s="6" t="n">
        <v>10</v>
      </c>
      <c r="C132" s="6" t="n">
        <v>1</v>
      </c>
      <c r="D132" s="7"/>
      <c r="E132" s="9" t="str">
        <f aca="false">IFERROR(INDEX(exercicio!$B$2:$B$190,MATCH(A132,exercicio!$A$2:$A$190,0)),"")</f>
        <v>Rosca de Punho Reversa com Halteres</v>
      </c>
      <c r="F132" s="9" t="str">
        <f aca="false">IFERROR(INDEX(exercicio!$B$2:$B$190,MATCH(B132,exercicio!$A$2:$A$190,0)),"")</f>
        <v>Flexão nas Pontas dos Dedos</v>
      </c>
      <c r="G132" s="8" t="b">
        <f aca="false">COUNTIF(exercicio_equipamento!$A$2:$A$400,B132)=0</f>
        <v>1</v>
      </c>
    </row>
    <row r="133" customFormat="false" ht="15" hidden="false" customHeight="false" outlineLevel="0" collapsed="false">
      <c r="A133" s="6" t="n">
        <v>40</v>
      </c>
      <c r="B133" s="6" t="n">
        <v>38</v>
      </c>
      <c r="C133" s="6" t="n">
        <v>2</v>
      </c>
      <c r="D133" s="7"/>
      <c r="E133" s="9" t="str">
        <f aca="false">IFERROR(INDEX(exercicio!$B$2:$B$190,MATCH(A133,exercicio!$A$2:$A$190,0)),"")</f>
        <v>Rosca de Punho Reversa com Halteres</v>
      </c>
      <c r="F133" s="9" t="str">
        <f aca="false">IFERROR(INDEX(exercicio!$B$2:$B$190,MATCH(B133,exercicio!$A$2:$A$190,0)),"")</f>
        <v>Rosca de Punho com Halteres</v>
      </c>
      <c r="G133" s="8" t="b">
        <f aca="false">COUNTIF(exercicio_equipamento!$A$2:$A$400,B133)=0</f>
        <v>0</v>
      </c>
    </row>
    <row r="134" customFormat="false" ht="15" hidden="false" customHeight="false" outlineLevel="0" collapsed="false">
      <c r="A134" s="6" t="n">
        <v>40</v>
      </c>
      <c r="B134" s="6" t="n">
        <v>39</v>
      </c>
      <c r="C134" s="6" t="n">
        <v>3</v>
      </c>
      <c r="D134" s="7"/>
      <c r="E134" s="9" t="str">
        <f aca="false">IFERROR(INDEX(exercicio!$B$2:$B$190,MATCH(A134,exercicio!$A$2:$A$190,0)),"")</f>
        <v>Rosca de Punho Reversa com Halteres</v>
      </c>
      <c r="F134" s="9" t="str">
        <f aca="false">IFERROR(INDEX(exercicio!$B$2:$B$190,MATCH(B134,exercicio!$A$2:$A$190,0)),"")</f>
        <v>Rosca de Punho com Barra</v>
      </c>
      <c r="G134" s="8" t="b">
        <f aca="false">COUNTIF(exercicio_equipamento!$A$2:$A$400,B134)=0</f>
        <v>0</v>
      </c>
    </row>
    <row r="135" customFormat="false" ht="15" hidden="false" customHeight="false" outlineLevel="0" collapsed="false">
      <c r="A135" s="6" t="n">
        <v>41</v>
      </c>
      <c r="B135" s="6" t="n">
        <v>42</v>
      </c>
      <c r="C135" s="6" t="n">
        <v>1</v>
      </c>
      <c r="D135" s="7"/>
      <c r="E135" s="9" t="str">
        <f aca="false">IFERROR(INDEX(exercicio!$B$2:$B$190,MATCH(A135,exercicio!$A$2:$A$190,0)),"")</f>
        <v>Suspensão na Barra</v>
      </c>
      <c r="F135" s="9" t="str">
        <f aca="false">IFERROR(INDEX(exercicio!$B$2:$B$190,MATCH(B135,exercicio!$A$2:$A$190,0)),"")</f>
        <v>Caminhada do Fazendeiro</v>
      </c>
      <c r="G135" s="8" t="b">
        <f aca="false">COUNTIF(exercicio_equipamento!$A$2:$A$400,B135)=0</f>
        <v>0</v>
      </c>
    </row>
    <row r="136" customFormat="false" ht="15" hidden="false" customHeight="false" outlineLevel="0" collapsed="false">
      <c r="A136" s="6" t="n">
        <v>41</v>
      </c>
      <c r="B136" s="6" t="n">
        <v>38</v>
      </c>
      <c r="C136" s="6" t="n">
        <v>2</v>
      </c>
      <c r="D136" s="7"/>
      <c r="E136" s="9" t="str">
        <f aca="false">IFERROR(INDEX(exercicio!$B$2:$B$190,MATCH(A136,exercicio!$A$2:$A$190,0)),"")</f>
        <v>Suspensão na Barra</v>
      </c>
      <c r="F136" s="9" t="str">
        <f aca="false">IFERROR(INDEX(exercicio!$B$2:$B$190,MATCH(B136,exercicio!$A$2:$A$190,0)),"")</f>
        <v>Rosca de Punho com Halteres</v>
      </c>
      <c r="G136" s="8" t="b">
        <f aca="false">COUNTIF(exercicio_equipamento!$A$2:$A$400,B136)=0</f>
        <v>0</v>
      </c>
    </row>
    <row r="137" customFormat="false" ht="15" hidden="false" customHeight="false" outlineLevel="0" collapsed="false">
      <c r="A137" s="6" t="n">
        <v>41</v>
      </c>
      <c r="B137" s="6" t="n">
        <v>10</v>
      </c>
      <c r="C137" s="6" t="n">
        <v>3</v>
      </c>
      <c r="D137" s="7"/>
      <c r="E137" s="9" t="str">
        <f aca="false">IFERROR(INDEX(exercicio!$B$2:$B$190,MATCH(A137,exercicio!$A$2:$A$190,0)),"")</f>
        <v>Suspensão na Barra</v>
      </c>
      <c r="F137" s="9" t="str">
        <f aca="false">IFERROR(INDEX(exercicio!$B$2:$B$190,MATCH(B137,exercicio!$A$2:$A$190,0)),"")</f>
        <v>Flexão nas Pontas dos Dedos</v>
      </c>
      <c r="G137" s="8" t="b">
        <f aca="false">COUNTIF(exercicio_equipamento!$A$2:$A$400,B137)=0</f>
        <v>1</v>
      </c>
    </row>
    <row r="138" customFormat="false" ht="15" hidden="false" customHeight="false" outlineLevel="0" collapsed="false">
      <c r="A138" s="6" t="n">
        <v>42</v>
      </c>
      <c r="B138" s="6" t="n">
        <v>41</v>
      </c>
      <c r="C138" s="6" t="n">
        <v>1</v>
      </c>
      <c r="D138" s="7"/>
      <c r="E138" s="9" t="str">
        <f aca="false">IFERROR(INDEX(exercicio!$B$2:$B$190,MATCH(A138,exercicio!$A$2:$A$190,0)),"")</f>
        <v>Caminhada do Fazendeiro</v>
      </c>
      <c r="F138" s="9" t="str">
        <f aca="false">IFERROR(INDEX(exercicio!$B$2:$B$190,MATCH(B138,exercicio!$A$2:$A$190,0)),"")</f>
        <v>Suspensão na Barra</v>
      </c>
      <c r="G138" s="8" t="b">
        <f aca="false">COUNTIF(exercicio_equipamento!$A$2:$A$400,B138)=0</f>
        <v>0</v>
      </c>
    </row>
    <row r="139" customFormat="false" ht="15" hidden="false" customHeight="false" outlineLevel="0" collapsed="false">
      <c r="A139" s="6" t="n">
        <v>42</v>
      </c>
      <c r="B139" s="6" t="n">
        <v>10</v>
      </c>
      <c r="C139" s="6" t="n">
        <v>2</v>
      </c>
      <c r="D139" s="7"/>
      <c r="E139" s="9" t="str">
        <f aca="false">IFERROR(INDEX(exercicio!$B$2:$B$190,MATCH(A139,exercicio!$A$2:$A$190,0)),"")</f>
        <v>Caminhada do Fazendeiro</v>
      </c>
      <c r="F139" s="9" t="str">
        <f aca="false">IFERROR(INDEX(exercicio!$B$2:$B$190,MATCH(B139,exercicio!$A$2:$A$190,0)),"")</f>
        <v>Flexão nas Pontas dos Dedos</v>
      </c>
      <c r="G139" s="8" t="b">
        <f aca="false">COUNTIF(exercicio_equipamento!$A$2:$A$400,B139)=0</f>
        <v>1</v>
      </c>
    </row>
    <row r="140" customFormat="false" ht="15" hidden="false" customHeight="false" outlineLevel="0" collapsed="false">
      <c r="A140" s="6" t="n">
        <v>42</v>
      </c>
      <c r="B140" s="6" t="n">
        <v>39</v>
      </c>
      <c r="C140" s="6" t="n">
        <v>3</v>
      </c>
      <c r="D140" s="7"/>
      <c r="E140" s="9" t="str">
        <f aca="false">IFERROR(INDEX(exercicio!$B$2:$B$190,MATCH(A140,exercicio!$A$2:$A$190,0)),"")</f>
        <v>Caminhada do Fazendeiro</v>
      </c>
      <c r="F140" s="9" t="str">
        <f aca="false">IFERROR(INDEX(exercicio!$B$2:$B$190,MATCH(B140,exercicio!$A$2:$A$190,0)),"")</f>
        <v>Rosca de Punho com Barra</v>
      </c>
      <c r="G140" s="8" t="b">
        <f aca="false">COUNTIF(exercicio_equipamento!$A$2:$A$400,B140)=0</f>
        <v>0</v>
      </c>
    </row>
    <row r="141" customFormat="false" ht="15" hidden="false" customHeight="false" outlineLevel="0" collapsed="false">
      <c r="A141" s="6" t="n">
        <v>43</v>
      </c>
      <c r="B141" s="6" t="n">
        <v>46</v>
      </c>
      <c r="C141" s="6" t="n">
        <v>1</v>
      </c>
      <c r="D141" s="7"/>
      <c r="E141" s="9" t="str">
        <f aca="false">IFERROR(INDEX(exercicio!$B$2:$B$190,MATCH(A141,exercicio!$A$2:$A$190,0)),"")</f>
        <v>Cadeira Extensora</v>
      </c>
      <c r="F141" s="9" t="str">
        <f aca="false">IFERROR(INDEX(exercicio!$B$2:$B$190,MATCH(B141,exercicio!$A$2:$A$190,0)),"")</f>
        <v>Agachamento com Peso do Corpo</v>
      </c>
      <c r="G141" s="8" t="b">
        <f aca="false">COUNTIF(exercicio_equipamento!$A$2:$A$400,B141)=0</f>
        <v>1</v>
      </c>
    </row>
    <row r="142" customFormat="false" ht="15" hidden="false" customHeight="false" outlineLevel="0" collapsed="false">
      <c r="A142" s="6" t="n">
        <v>43</v>
      </c>
      <c r="B142" s="6" t="n">
        <v>47</v>
      </c>
      <c r="C142" s="6" t="n">
        <v>2</v>
      </c>
      <c r="D142" s="7"/>
      <c r="E142" s="9" t="str">
        <f aca="false">IFERROR(INDEX(exercicio!$B$2:$B$190,MATCH(A142,exercicio!$A$2:$A$190,0)),"")</f>
        <v>Cadeira Extensora</v>
      </c>
      <c r="F142" s="9" t="str">
        <f aca="false">IFERROR(INDEX(exercicio!$B$2:$B$190,MATCH(B142,exercicio!$A$2:$A$190,0)),"")</f>
        <v>Afundo</v>
      </c>
      <c r="G142" s="8" t="b">
        <f aca="false">COUNTIF(exercicio_equipamento!$A$2:$A$400,B142)=0</f>
        <v>1</v>
      </c>
    </row>
    <row r="143" customFormat="false" ht="15" hidden="false" customHeight="false" outlineLevel="0" collapsed="false">
      <c r="A143" s="6" t="n">
        <v>43</v>
      </c>
      <c r="B143" s="6" t="n">
        <v>48</v>
      </c>
      <c r="C143" s="6" t="n">
        <v>3</v>
      </c>
      <c r="D143" s="7"/>
      <c r="E143" s="9" t="str">
        <f aca="false">IFERROR(INDEX(exercicio!$B$2:$B$190,MATCH(A143,exercicio!$A$2:$A$190,0)),"")</f>
        <v>Cadeira Extensora</v>
      </c>
      <c r="F143" s="9" t="str">
        <f aca="false">IFERROR(INDEX(exercicio!$B$2:$B$190,MATCH(B143,exercicio!$A$2:$A$190,0)),"")</f>
        <v>Agachamento Búlgaro</v>
      </c>
      <c r="G143" s="8" t="b">
        <f aca="false">COUNTIF(exercicio_equipamento!$A$2:$A$400,B143)=0</f>
        <v>0</v>
      </c>
    </row>
    <row r="144" customFormat="false" ht="15" hidden="false" customHeight="false" outlineLevel="0" collapsed="false">
      <c r="A144" s="6" t="n">
        <v>43</v>
      </c>
      <c r="B144" s="6" t="n">
        <v>44</v>
      </c>
      <c r="C144" s="6" t="n">
        <v>4</v>
      </c>
      <c r="D144" s="7"/>
      <c r="E144" s="9" t="str">
        <f aca="false">IFERROR(INDEX(exercicio!$B$2:$B$190,MATCH(A144,exercicio!$A$2:$A$190,0)),"")</f>
        <v>Cadeira Extensora</v>
      </c>
      <c r="F144" s="9" t="str">
        <f aca="false">IFERROR(INDEX(exercicio!$B$2:$B$190,MATCH(B144,exercicio!$A$2:$A$190,0)),"")</f>
        <v>Leg Press</v>
      </c>
      <c r="G144" s="8" t="b">
        <f aca="false">COUNTIF(exercicio_equipamento!$A$2:$A$400,B144)=0</f>
        <v>0</v>
      </c>
    </row>
    <row r="145" customFormat="false" ht="15" hidden="false" customHeight="false" outlineLevel="0" collapsed="false">
      <c r="A145" s="6" t="n">
        <v>44</v>
      </c>
      <c r="B145" s="6" t="n">
        <v>46</v>
      </c>
      <c r="C145" s="6" t="n">
        <v>1</v>
      </c>
      <c r="D145" s="7"/>
      <c r="E145" s="9" t="str">
        <f aca="false">IFERROR(INDEX(exercicio!$B$2:$B$190,MATCH(A145,exercicio!$A$2:$A$190,0)),"")</f>
        <v>Leg Press</v>
      </c>
      <c r="F145" s="9" t="str">
        <f aca="false">IFERROR(INDEX(exercicio!$B$2:$B$190,MATCH(B145,exercicio!$A$2:$A$190,0)),"")</f>
        <v>Agachamento com Peso do Corpo</v>
      </c>
      <c r="G145" s="8" t="b">
        <f aca="false">COUNTIF(exercicio_equipamento!$A$2:$A$400,B145)=0</f>
        <v>1</v>
      </c>
    </row>
    <row r="146" customFormat="false" ht="15" hidden="false" customHeight="false" outlineLevel="0" collapsed="false">
      <c r="A146" s="6" t="n">
        <v>44</v>
      </c>
      <c r="B146" s="6" t="n">
        <v>82</v>
      </c>
      <c r="C146" s="6" t="n">
        <v>2</v>
      </c>
      <c r="D146" s="7"/>
      <c r="E146" s="9" t="str">
        <f aca="false">IFERROR(INDEX(exercicio!$B$2:$B$190,MATCH(A146,exercicio!$A$2:$A$190,0)),"")</f>
        <v>Leg Press</v>
      </c>
      <c r="F146" s="9" t="str">
        <f aca="false">IFERROR(INDEX(exercicio!$B$2:$B$190,MATCH(B146,exercicio!$A$2:$A$190,0)),"")</f>
        <v>Agachamento Hack</v>
      </c>
      <c r="G146" s="8" t="b">
        <f aca="false">COUNTIF(exercicio_equipamento!$A$2:$A$400,B146)=0</f>
        <v>0</v>
      </c>
    </row>
    <row r="147" customFormat="false" ht="15" hidden="false" customHeight="false" outlineLevel="0" collapsed="false">
      <c r="A147" s="6" t="n">
        <v>44</v>
      </c>
      <c r="B147" s="6" t="n">
        <v>81</v>
      </c>
      <c r="C147" s="6" t="n">
        <v>3</v>
      </c>
      <c r="D147" s="7"/>
      <c r="E147" s="9" t="str">
        <f aca="false">IFERROR(INDEX(exercicio!$B$2:$B$190,MATCH(A147,exercicio!$A$2:$A$190,0)),"")</f>
        <v>Leg Press</v>
      </c>
      <c r="F147" s="9" t="str">
        <f aca="false">IFERROR(INDEX(exercicio!$B$2:$B$190,MATCH(B147,exercicio!$A$2:$A$190,0)),"")</f>
        <v>Agachamento no Smith</v>
      </c>
      <c r="G147" s="8" t="b">
        <f aca="false">COUNTIF(exercicio_equipamento!$A$2:$A$400,B147)=0</f>
        <v>0</v>
      </c>
    </row>
    <row r="148" customFormat="false" ht="15" hidden="false" customHeight="false" outlineLevel="0" collapsed="false">
      <c r="A148" s="6" t="n">
        <v>44</v>
      </c>
      <c r="B148" s="6" t="n">
        <v>45</v>
      </c>
      <c r="C148" s="6" t="n">
        <v>4</v>
      </c>
      <c r="D148" s="7"/>
      <c r="E148" s="9" t="str">
        <f aca="false">IFERROR(INDEX(exercicio!$B$2:$B$190,MATCH(A148,exercicio!$A$2:$A$190,0)),"")</f>
        <v>Leg Press</v>
      </c>
      <c r="F148" s="9" t="str">
        <f aca="false">IFERROR(INDEX(exercicio!$B$2:$B$190,MATCH(B148,exercicio!$A$2:$A$190,0)),"")</f>
        <v>Agachamento Livre com Barra</v>
      </c>
      <c r="G148" s="8" t="b">
        <f aca="false">COUNTIF(exercicio_equipamento!$A$2:$A$400,B148)=0</f>
        <v>0</v>
      </c>
    </row>
    <row r="149" customFormat="false" ht="15" hidden="false" customHeight="false" outlineLevel="0" collapsed="false">
      <c r="A149" s="6" t="n">
        <v>45</v>
      </c>
      <c r="B149" s="6" t="n">
        <v>81</v>
      </c>
      <c r="C149" s="6" t="n">
        <v>1</v>
      </c>
      <c r="D149" s="7"/>
      <c r="E149" s="9" t="str">
        <f aca="false">IFERROR(INDEX(exercicio!$B$2:$B$190,MATCH(A149,exercicio!$A$2:$A$190,0)),"")</f>
        <v>Agachamento Livre com Barra</v>
      </c>
      <c r="F149" s="9" t="str">
        <f aca="false">IFERROR(INDEX(exercicio!$B$2:$B$190,MATCH(B149,exercicio!$A$2:$A$190,0)),"")</f>
        <v>Agachamento no Smith</v>
      </c>
      <c r="G149" s="8" t="b">
        <f aca="false">COUNTIF(exercicio_equipamento!$A$2:$A$400,B149)=0</f>
        <v>0</v>
      </c>
    </row>
    <row r="150" customFormat="false" ht="15" hidden="false" customHeight="false" outlineLevel="0" collapsed="false">
      <c r="A150" s="6" t="n">
        <v>45</v>
      </c>
      <c r="B150" s="6" t="n">
        <v>48</v>
      </c>
      <c r="C150" s="6" t="n">
        <v>2</v>
      </c>
      <c r="D150" s="7"/>
      <c r="E150" s="9" t="str">
        <f aca="false">IFERROR(INDEX(exercicio!$B$2:$B$190,MATCH(A150,exercicio!$A$2:$A$190,0)),"")</f>
        <v>Agachamento Livre com Barra</v>
      </c>
      <c r="F150" s="9" t="str">
        <f aca="false">IFERROR(INDEX(exercicio!$B$2:$B$190,MATCH(B150,exercicio!$A$2:$A$190,0)),"")</f>
        <v>Agachamento Búlgaro</v>
      </c>
      <c r="G150" s="8" t="b">
        <f aca="false">COUNTIF(exercicio_equipamento!$A$2:$A$400,B150)=0</f>
        <v>0</v>
      </c>
    </row>
    <row r="151" customFormat="false" ht="15" hidden="false" customHeight="false" outlineLevel="0" collapsed="false">
      <c r="A151" s="6" t="n">
        <v>45</v>
      </c>
      <c r="B151" s="6" t="n">
        <v>47</v>
      </c>
      <c r="C151" s="6" t="n">
        <v>3</v>
      </c>
      <c r="D151" s="7"/>
      <c r="E151" s="9" t="str">
        <f aca="false">IFERROR(INDEX(exercicio!$B$2:$B$190,MATCH(A151,exercicio!$A$2:$A$190,0)),"")</f>
        <v>Agachamento Livre com Barra</v>
      </c>
      <c r="F151" s="9" t="str">
        <f aca="false">IFERROR(INDEX(exercicio!$B$2:$B$190,MATCH(B151,exercicio!$A$2:$A$190,0)),"")</f>
        <v>Afundo</v>
      </c>
      <c r="G151" s="8" t="b">
        <f aca="false">COUNTIF(exercicio_equipamento!$A$2:$A$400,B151)=0</f>
        <v>1</v>
      </c>
    </row>
    <row r="152" customFormat="false" ht="15" hidden="false" customHeight="false" outlineLevel="0" collapsed="false">
      <c r="A152" s="6" t="n">
        <v>45</v>
      </c>
      <c r="B152" s="6" t="n">
        <v>44</v>
      </c>
      <c r="C152" s="6" t="n">
        <v>4</v>
      </c>
      <c r="D152" s="7"/>
      <c r="E152" s="9" t="str">
        <f aca="false">IFERROR(INDEX(exercicio!$B$2:$B$190,MATCH(A152,exercicio!$A$2:$A$190,0)),"")</f>
        <v>Agachamento Livre com Barra</v>
      </c>
      <c r="F152" s="9" t="str">
        <f aca="false">IFERROR(INDEX(exercicio!$B$2:$B$190,MATCH(B152,exercicio!$A$2:$A$190,0)),"")</f>
        <v>Leg Press</v>
      </c>
      <c r="G152" s="8" t="b">
        <f aca="false">COUNTIF(exercicio_equipamento!$A$2:$A$400,B152)=0</f>
        <v>0</v>
      </c>
    </row>
    <row r="153" customFormat="false" ht="15" hidden="false" customHeight="false" outlineLevel="0" collapsed="false">
      <c r="A153" s="6" t="n">
        <v>46</v>
      </c>
      <c r="B153" s="6" t="n">
        <v>47</v>
      </c>
      <c r="C153" s="6" t="n">
        <v>1</v>
      </c>
      <c r="D153" s="7"/>
      <c r="E153" s="9" t="str">
        <f aca="false">IFERROR(INDEX(exercicio!$B$2:$B$190,MATCH(A153,exercicio!$A$2:$A$190,0)),"")</f>
        <v>Agachamento com Peso do Corpo</v>
      </c>
      <c r="F153" s="9" t="str">
        <f aca="false">IFERROR(INDEX(exercicio!$B$2:$B$190,MATCH(B153,exercicio!$A$2:$A$190,0)),"")</f>
        <v>Afundo</v>
      </c>
      <c r="G153" s="8" t="b">
        <f aca="false">COUNTIF(exercicio_equipamento!$A$2:$A$400,B153)=0</f>
        <v>1</v>
      </c>
    </row>
    <row r="154" customFormat="false" ht="15" hidden="false" customHeight="false" outlineLevel="0" collapsed="false">
      <c r="A154" s="6" t="n">
        <v>46</v>
      </c>
      <c r="B154" s="6" t="n">
        <v>48</v>
      </c>
      <c r="C154" s="6" t="n">
        <v>2</v>
      </c>
      <c r="D154" s="7"/>
      <c r="E154" s="9" t="str">
        <f aca="false">IFERROR(INDEX(exercicio!$B$2:$B$190,MATCH(A154,exercicio!$A$2:$A$190,0)),"")</f>
        <v>Agachamento com Peso do Corpo</v>
      </c>
      <c r="F154" s="9" t="str">
        <f aca="false">IFERROR(INDEX(exercicio!$B$2:$B$190,MATCH(B154,exercicio!$A$2:$A$190,0)),"")</f>
        <v>Agachamento Búlgaro</v>
      </c>
      <c r="G154" s="8" t="b">
        <f aca="false">COUNTIF(exercicio_equipamento!$A$2:$A$400,B154)=0</f>
        <v>0</v>
      </c>
    </row>
    <row r="155" customFormat="false" ht="15" hidden="false" customHeight="false" outlineLevel="0" collapsed="false">
      <c r="A155" s="6" t="n">
        <v>46</v>
      </c>
      <c r="B155" s="6" t="n">
        <v>44</v>
      </c>
      <c r="C155" s="6" t="n">
        <v>3</v>
      </c>
      <c r="D155" s="7"/>
      <c r="E155" s="9" t="str">
        <f aca="false">IFERROR(INDEX(exercicio!$B$2:$B$190,MATCH(A155,exercicio!$A$2:$A$190,0)),"")</f>
        <v>Agachamento com Peso do Corpo</v>
      </c>
      <c r="F155" s="9" t="str">
        <f aca="false">IFERROR(INDEX(exercicio!$B$2:$B$190,MATCH(B155,exercicio!$A$2:$A$190,0)),"")</f>
        <v>Leg Press</v>
      </c>
      <c r="G155" s="8" t="b">
        <f aca="false">COUNTIF(exercicio_equipamento!$A$2:$A$400,B155)=0</f>
        <v>0</v>
      </c>
    </row>
    <row r="156" customFormat="false" ht="15" hidden="false" customHeight="false" outlineLevel="0" collapsed="false">
      <c r="A156" s="6" t="n">
        <v>47</v>
      </c>
      <c r="B156" s="6" t="n">
        <v>46</v>
      </c>
      <c r="C156" s="6" t="n">
        <v>1</v>
      </c>
      <c r="D156" s="7"/>
      <c r="E156" s="9" t="str">
        <f aca="false">IFERROR(INDEX(exercicio!$B$2:$B$190,MATCH(A156,exercicio!$A$2:$A$190,0)),"")</f>
        <v>Afundo</v>
      </c>
      <c r="F156" s="9" t="str">
        <f aca="false">IFERROR(INDEX(exercicio!$B$2:$B$190,MATCH(B156,exercicio!$A$2:$A$190,0)),"")</f>
        <v>Agachamento com Peso do Corpo</v>
      </c>
      <c r="G156" s="8" t="b">
        <f aca="false">COUNTIF(exercicio_equipamento!$A$2:$A$400,B156)=0</f>
        <v>1</v>
      </c>
    </row>
    <row r="157" customFormat="false" ht="15" hidden="false" customHeight="false" outlineLevel="0" collapsed="false">
      <c r="A157" s="6" t="n">
        <v>47</v>
      </c>
      <c r="B157" s="6" t="n">
        <v>48</v>
      </c>
      <c r="C157" s="6" t="n">
        <v>2</v>
      </c>
      <c r="D157" s="7"/>
      <c r="E157" s="9" t="str">
        <f aca="false">IFERROR(INDEX(exercicio!$B$2:$B$190,MATCH(A157,exercicio!$A$2:$A$190,0)),"")</f>
        <v>Afundo</v>
      </c>
      <c r="F157" s="9" t="str">
        <f aca="false">IFERROR(INDEX(exercicio!$B$2:$B$190,MATCH(B157,exercicio!$A$2:$A$190,0)),"")</f>
        <v>Agachamento Búlgaro</v>
      </c>
      <c r="G157" s="8" t="b">
        <f aca="false">COUNTIF(exercicio_equipamento!$A$2:$A$400,B157)=0</f>
        <v>0</v>
      </c>
    </row>
    <row r="158" customFormat="false" ht="15" hidden="false" customHeight="false" outlineLevel="0" collapsed="false">
      <c r="A158" s="6" t="n">
        <v>47</v>
      </c>
      <c r="B158" s="6" t="n">
        <v>45</v>
      </c>
      <c r="C158" s="6" t="n">
        <v>3</v>
      </c>
      <c r="D158" s="7"/>
      <c r="E158" s="9" t="str">
        <f aca="false">IFERROR(INDEX(exercicio!$B$2:$B$190,MATCH(A158,exercicio!$A$2:$A$190,0)),"")</f>
        <v>Afundo</v>
      </c>
      <c r="F158" s="9" t="str">
        <f aca="false">IFERROR(INDEX(exercicio!$B$2:$B$190,MATCH(B158,exercicio!$A$2:$A$190,0)),"")</f>
        <v>Agachamento Livre com Barra</v>
      </c>
      <c r="G158" s="8" t="b">
        <f aca="false">COUNTIF(exercicio_equipamento!$A$2:$A$400,B158)=0</f>
        <v>0</v>
      </c>
    </row>
    <row r="159" customFormat="false" ht="15" hidden="false" customHeight="false" outlineLevel="0" collapsed="false">
      <c r="A159" s="6" t="n">
        <v>48</v>
      </c>
      <c r="B159" s="6" t="n">
        <v>47</v>
      </c>
      <c r="C159" s="6" t="n">
        <v>1</v>
      </c>
      <c r="D159" s="7"/>
      <c r="E159" s="9" t="str">
        <f aca="false">IFERROR(INDEX(exercicio!$B$2:$B$190,MATCH(A159,exercicio!$A$2:$A$190,0)),"")</f>
        <v>Agachamento Búlgaro</v>
      </c>
      <c r="F159" s="9" t="str">
        <f aca="false">IFERROR(INDEX(exercicio!$B$2:$B$190,MATCH(B159,exercicio!$A$2:$A$190,0)),"")</f>
        <v>Afundo</v>
      </c>
      <c r="G159" s="8" t="b">
        <f aca="false">COUNTIF(exercicio_equipamento!$A$2:$A$400,B159)=0</f>
        <v>1</v>
      </c>
    </row>
    <row r="160" customFormat="false" ht="15" hidden="false" customHeight="false" outlineLevel="0" collapsed="false">
      <c r="A160" s="6" t="n">
        <v>48</v>
      </c>
      <c r="B160" s="6" t="n">
        <v>46</v>
      </c>
      <c r="C160" s="6" t="n">
        <v>2</v>
      </c>
      <c r="D160" s="7"/>
      <c r="E160" s="9" t="str">
        <f aca="false">IFERROR(INDEX(exercicio!$B$2:$B$190,MATCH(A160,exercicio!$A$2:$A$190,0)),"")</f>
        <v>Agachamento Búlgaro</v>
      </c>
      <c r="F160" s="9" t="str">
        <f aca="false">IFERROR(INDEX(exercicio!$B$2:$B$190,MATCH(B160,exercicio!$A$2:$A$190,0)),"")</f>
        <v>Agachamento com Peso do Corpo</v>
      </c>
      <c r="G160" s="8" t="b">
        <f aca="false">COUNTIF(exercicio_equipamento!$A$2:$A$400,B160)=0</f>
        <v>1</v>
      </c>
    </row>
    <row r="161" customFormat="false" ht="15" hidden="false" customHeight="false" outlineLevel="0" collapsed="false">
      <c r="A161" s="6" t="n">
        <v>48</v>
      </c>
      <c r="B161" s="6" t="n">
        <v>44</v>
      </c>
      <c r="C161" s="6" t="n">
        <v>3</v>
      </c>
      <c r="D161" s="7"/>
      <c r="E161" s="9" t="str">
        <f aca="false">IFERROR(INDEX(exercicio!$B$2:$B$190,MATCH(A161,exercicio!$A$2:$A$190,0)),"")</f>
        <v>Agachamento Búlgaro</v>
      </c>
      <c r="F161" s="9" t="str">
        <f aca="false">IFERROR(INDEX(exercicio!$B$2:$B$190,MATCH(B161,exercicio!$A$2:$A$190,0)),"")</f>
        <v>Leg Press</v>
      </c>
      <c r="G161" s="8" t="b">
        <f aca="false">COUNTIF(exercicio_equipamento!$A$2:$A$400,B161)=0</f>
        <v>0</v>
      </c>
    </row>
    <row r="162" customFormat="false" ht="15" hidden="false" customHeight="false" outlineLevel="0" collapsed="false">
      <c r="A162" s="6" t="n">
        <v>49</v>
      </c>
      <c r="B162" s="6" t="n">
        <v>51</v>
      </c>
      <c r="C162" s="6" t="n">
        <v>1</v>
      </c>
      <c r="D162" s="7"/>
      <c r="E162" s="9" t="str">
        <f aca="false">IFERROR(INDEX(exercicio!$B$2:$B$190,MATCH(A162,exercicio!$A$2:$A$190,0)),"")</f>
        <v>Cadeira Flexora</v>
      </c>
      <c r="F162" s="9" t="str">
        <f aca="false">IFERROR(INDEX(exercicio!$B$2:$B$190,MATCH(B162,exercicio!$A$2:$A$190,0)),"")</f>
        <v>Stiff Unilateral</v>
      </c>
      <c r="G162" s="8" t="b">
        <f aca="false">COUNTIF(exercicio_equipamento!$A$2:$A$400,B162)=0</f>
        <v>1</v>
      </c>
    </row>
    <row r="163" customFormat="false" ht="15" hidden="false" customHeight="false" outlineLevel="0" collapsed="false">
      <c r="A163" s="6" t="n">
        <v>49</v>
      </c>
      <c r="B163" s="6" t="n">
        <v>83</v>
      </c>
      <c r="C163" s="6" t="n">
        <v>2</v>
      </c>
      <c r="D163" s="7"/>
      <c r="E163" s="9" t="str">
        <f aca="false">IFERROR(INDEX(exercicio!$B$2:$B$190,MATCH(A163,exercicio!$A$2:$A$190,0)),"")</f>
        <v>Cadeira Flexora</v>
      </c>
      <c r="F163" s="9" t="str">
        <f aca="false">IFERROR(INDEX(exercicio!$B$2:$B$190,MATCH(B163,exercicio!$A$2:$A$190,0)),"")</f>
        <v>Mesa Flexora</v>
      </c>
      <c r="G163" s="8" t="b">
        <f aca="false">COUNTIF(exercicio_equipamento!$A$2:$A$400,B163)=0</f>
        <v>0</v>
      </c>
    </row>
    <row r="164" customFormat="false" ht="15" hidden="false" customHeight="false" outlineLevel="0" collapsed="false">
      <c r="A164" s="6" t="n">
        <v>49</v>
      </c>
      <c r="B164" s="6" t="n">
        <v>50</v>
      </c>
      <c r="C164" s="6" t="n">
        <v>3</v>
      </c>
      <c r="D164" s="7"/>
      <c r="E164" s="9" t="str">
        <f aca="false">IFERROR(INDEX(exercicio!$B$2:$B$190,MATCH(A164,exercicio!$A$2:$A$190,0)),"")</f>
        <v>Cadeira Flexora</v>
      </c>
      <c r="F164" s="9" t="str">
        <f aca="false">IFERROR(INDEX(exercicio!$B$2:$B$190,MATCH(B164,exercicio!$A$2:$A$190,0)),"")</f>
        <v>Stiff</v>
      </c>
      <c r="G164" s="8" t="b">
        <f aca="false">COUNTIF(exercicio_equipamento!$A$2:$A$400,B164)=0</f>
        <v>0</v>
      </c>
    </row>
    <row r="165" customFormat="false" ht="15" hidden="false" customHeight="false" outlineLevel="0" collapsed="false">
      <c r="A165" s="6" t="n">
        <v>49</v>
      </c>
      <c r="B165" s="6" t="n">
        <v>53</v>
      </c>
      <c r="C165" s="6" t="n">
        <v>4</v>
      </c>
      <c r="D165" s="7"/>
      <c r="E165" s="9" t="str">
        <f aca="false">IFERROR(INDEX(exercicio!$B$2:$B$190,MATCH(A165,exercicio!$A$2:$A$190,0)),"")</f>
        <v>Cadeira Flexora</v>
      </c>
      <c r="F165" s="9" t="str">
        <f aca="false">IFERROR(INDEX(exercicio!$B$2:$B$190,MATCH(B165,exercicio!$A$2:$A$190,0)),"")</f>
        <v>Elevação Pélvica com Peso do Corpo</v>
      </c>
      <c r="G165" s="8" t="b">
        <f aca="false">COUNTIF(exercicio_equipamento!$A$2:$A$400,B165)=0</f>
        <v>1</v>
      </c>
    </row>
    <row r="166" customFormat="false" ht="15" hidden="false" customHeight="false" outlineLevel="0" collapsed="false">
      <c r="A166" s="6" t="n">
        <v>50</v>
      </c>
      <c r="B166" s="6" t="n">
        <v>51</v>
      </c>
      <c r="C166" s="6" t="n">
        <v>1</v>
      </c>
      <c r="D166" s="7"/>
      <c r="E166" s="9" t="str">
        <f aca="false">IFERROR(INDEX(exercicio!$B$2:$B$190,MATCH(A166,exercicio!$A$2:$A$190,0)),"")</f>
        <v>Stiff</v>
      </c>
      <c r="F166" s="9" t="str">
        <f aca="false">IFERROR(INDEX(exercicio!$B$2:$B$190,MATCH(B166,exercicio!$A$2:$A$190,0)),"")</f>
        <v>Stiff Unilateral</v>
      </c>
      <c r="G166" s="8" t="b">
        <f aca="false">COUNTIF(exercicio_equipamento!$A$2:$A$400,B166)=0</f>
        <v>1</v>
      </c>
    </row>
    <row r="167" customFormat="false" ht="15" hidden="false" customHeight="false" outlineLevel="0" collapsed="false">
      <c r="A167" s="6" t="n">
        <v>50</v>
      </c>
      <c r="B167" s="6" t="n">
        <v>49</v>
      </c>
      <c r="C167" s="6" t="n">
        <v>2</v>
      </c>
      <c r="D167" s="7"/>
      <c r="E167" s="9" t="str">
        <f aca="false">IFERROR(INDEX(exercicio!$B$2:$B$190,MATCH(A167,exercicio!$A$2:$A$190,0)),"")</f>
        <v>Stiff</v>
      </c>
      <c r="F167" s="9" t="str">
        <f aca="false">IFERROR(INDEX(exercicio!$B$2:$B$190,MATCH(B167,exercicio!$A$2:$A$190,0)),"")</f>
        <v>Cadeira Flexora</v>
      </c>
      <c r="G167" s="8" t="b">
        <f aca="false">COUNTIF(exercicio_equipamento!$A$2:$A$400,B167)=0</f>
        <v>0</v>
      </c>
    </row>
    <row r="168" customFormat="false" ht="15" hidden="false" customHeight="false" outlineLevel="0" collapsed="false">
      <c r="A168" s="6" t="n">
        <v>50</v>
      </c>
      <c r="B168" s="6" t="n">
        <v>83</v>
      </c>
      <c r="C168" s="6" t="n">
        <v>3</v>
      </c>
      <c r="D168" s="7"/>
      <c r="E168" s="9" t="str">
        <f aca="false">IFERROR(INDEX(exercicio!$B$2:$B$190,MATCH(A168,exercicio!$A$2:$A$190,0)),"")</f>
        <v>Stiff</v>
      </c>
      <c r="F168" s="9" t="str">
        <f aca="false">IFERROR(INDEX(exercicio!$B$2:$B$190,MATCH(B168,exercicio!$A$2:$A$190,0)),"")</f>
        <v>Mesa Flexora</v>
      </c>
      <c r="G168" s="8" t="b">
        <f aca="false">COUNTIF(exercicio_equipamento!$A$2:$A$400,B168)=0</f>
        <v>0</v>
      </c>
    </row>
    <row r="169" customFormat="false" ht="15" hidden="false" customHeight="false" outlineLevel="0" collapsed="false">
      <c r="A169" s="6" t="n">
        <v>50</v>
      </c>
      <c r="B169" s="6" t="n">
        <v>53</v>
      </c>
      <c r="C169" s="6" t="n">
        <v>4</v>
      </c>
      <c r="D169" s="7"/>
      <c r="E169" s="9" t="str">
        <f aca="false">IFERROR(INDEX(exercicio!$B$2:$B$190,MATCH(A169,exercicio!$A$2:$A$190,0)),"")</f>
        <v>Stiff</v>
      </c>
      <c r="F169" s="9" t="str">
        <f aca="false">IFERROR(INDEX(exercicio!$B$2:$B$190,MATCH(B169,exercicio!$A$2:$A$190,0)),"")</f>
        <v>Elevação Pélvica com Peso do Corpo</v>
      </c>
      <c r="G169" s="8" t="b">
        <f aca="false">COUNTIF(exercicio_equipamento!$A$2:$A$400,B169)=0</f>
        <v>1</v>
      </c>
    </row>
    <row r="170" customFormat="false" ht="15" hidden="false" customHeight="false" outlineLevel="0" collapsed="false">
      <c r="A170" s="6" t="n">
        <v>51</v>
      </c>
      <c r="B170" s="6" t="n">
        <v>53</v>
      </c>
      <c r="C170" s="6" t="n">
        <v>1</v>
      </c>
      <c r="D170" s="7"/>
      <c r="E170" s="9" t="str">
        <f aca="false">IFERROR(INDEX(exercicio!$B$2:$B$190,MATCH(A170,exercicio!$A$2:$A$190,0)),"")</f>
        <v>Stiff Unilateral</v>
      </c>
      <c r="F170" s="9" t="str">
        <f aca="false">IFERROR(INDEX(exercicio!$B$2:$B$190,MATCH(B170,exercicio!$A$2:$A$190,0)),"")</f>
        <v>Elevação Pélvica com Peso do Corpo</v>
      </c>
      <c r="G170" s="8" t="b">
        <f aca="false">COUNTIF(exercicio_equipamento!$A$2:$A$400,B170)=0</f>
        <v>1</v>
      </c>
    </row>
    <row r="171" customFormat="false" ht="15" hidden="false" customHeight="false" outlineLevel="0" collapsed="false">
      <c r="A171" s="6" t="n">
        <v>51</v>
      </c>
      <c r="B171" s="6" t="n">
        <v>50</v>
      </c>
      <c r="C171" s="6" t="n">
        <v>2</v>
      </c>
      <c r="D171" s="7"/>
      <c r="E171" s="9" t="str">
        <f aca="false">IFERROR(INDEX(exercicio!$B$2:$B$190,MATCH(A171,exercicio!$A$2:$A$190,0)),"")</f>
        <v>Stiff Unilateral</v>
      </c>
      <c r="F171" s="9" t="str">
        <f aca="false">IFERROR(INDEX(exercicio!$B$2:$B$190,MATCH(B171,exercicio!$A$2:$A$190,0)),"")</f>
        <v>Stiff</v>
      </c>
      <c r="G171" s="8" t="b">
        <f aca="false">COUNTIF(exercicio_equipamento!$A$2:$A$400,B171)=0</f>
        <v>0</v>
      </c>
    </row>
    <row r="172" customFormat="false" ht="15" hidden="false" customHeight="false" outlineLevel="0" collapsed="false">
      <c r="A172" s="6" t="n">
        <v>51</v>
      </c>
      <c r="B172" s="6" t="n">
        <v>49</v>
      </c>
      <c r="C172" s="6" t="n">
        <v>3</v>
      </c>
      <c r="D172" s="7"/>
      <c r="E172" s="9" t="str">
        <f aca="false">IFERROR(INDEX(exercicio!$B$2:$B$190,MATCH(A172,exercicio!$A$2:$A$190,0)),"")</f>
        <v>Stiff Unilateral</v>
      </c>
      <c r="F172" s="9" t="str">
        <f aca="false">IFERROR(INDEX(exercicio!$B$2:$B$190,MATCH(B172,exercicio!$A$2:$A$190,0)),"")</f>
        <v>Cadeira Flexora</v>
      </c>
      <c r="G172" s="8" t="b">
        <f aca="false">COUNTIF(exercicio_equipamento!$A$2:$A$400,B172)=0</f>
        <v>0</v>
      </c>
    </row>
    <row r="173" customFormat="false" ht="15" hidden="false" customHeight="false" outlineLevel="0" collapsed="false">
      <c r="A173" s="6" t="n">
        <v>52</v>
      </c>
      <c r="B173" s="6" t="n">
        <v>53</v>
      </c>
      <c r="C173" s="6" t="n">
        <v>1</v>
      </c>
      <c r="D173" s="7"/>
      <c r="E173" s="9" t="str">
        <f aca="false">IFERROR(INDEX(exercicio!$B$2:$B$190,MATCH(A173,exercicio!$A$2:$A$190,0)),"")</f>
        <v>Levantamento Terra</v>
      </c>
      <c r="F173" s="9" t="str">
        <f aca="false">IFERROR(INDEX(exercicio!$B$2:$B$190,MATCH(B173,exercicio!$A$2:$A$190,0)),"")</f>
        <v>Elevação Pélvica com Peso do Corpo</v>
      </c>
      <c r="G173" s="8" t="b">
        <f aca="false">COUNTIF(exercicio_equipamento!$A$2:$A$400,B173)=0</f>
        <v>1</v>
      </c>
    </row>
    <row r="174" customFormat="false" ht="15" hidden="false" customHeight="false" outlineLevel="0" collapsed="false">
      <c r="A174" s="6" t="n">
        <v>52</v>
      </c>
      <c r="B174" s="6" t="n">
        <v>51</v>
      </c>
      <c r="C174" s="6" t="n">
        <v>2</v>
      </c>
      <c r="D174" s="7"/>
      <c r="E174" s="9" t="str">
        <f aca="false">IFERROR(INDEX(exercicio!$B$2:$B$190,MATCH(A174,exercicio!$A$2:$A$190,0)),"")</f>
        <v>Levantamento Terra</v>
      </c>
      <c r="F174" s="9" t="str">
        <f aca="false">IFERROR(INDEX(exercicio!$B$2:$B$190,MATCH(B174,exercicio!$A$2:$A$190,0)),"")</f>
        <v>Stiff Unilateral</v>
      </c>
      <c r="G174" s="8" t="b">
        <f aca="false">COUNTIF(exercicio_equipamento!$A$2:$A$400,B174)=0</f>
        <v>1</v>
      </c>
    </row>
    <row r="175" customFormat="false" ht="15" hidden="false" customHeight="false" outlineLevel="0" collapsed="false">
      <c r="A175" s="6" t="n">
        <v>52</v>
      </c>
      <c r="B175" s="6" t="n">
        <v>50</v>
      </c>
      <c r="C175" s="6" t="n">
        <v>3</v>
      </c>
      <c r="D175" s="7"/>
      <c r="E175" s="9" t="str">
        <f aca="false">IFERROR(INDEX(exercicio!$B$2:$B$190,MATCH(A175,exercicio!$A$2:$A$190,0)),"")</f>
        <v>Levantamento Terra</v>
      </c>
      <c r="F175" s="9" t="str">
        <f aca="false">IFERROR(INDEX(exercicio!$B$2:$B$190,MATCH(B175,exercicio!$A$2:$A$190,0)),"")</f>
        <v>Stiff</v>
      </c>
      <c r="G175" s="8" t="b">
        <f aca="false">COUNTIF(exercicio_equipamento!$A$2:$A$400,B175)=0</f>
        <v>0</v>
      </c>
    </row>
    <row r="176" customFormat="false" ht="15" hidden="false" customHeight="false" outlineLevel="0" collapsed="false">
      <c r="A176" s="6" t="n">
        <v>52</v>
      </c>
      <c r="B176" s="6" t="n">
        <v>54</v>
      </c>
      <c r="C176" s="6" t="n">
        <v>4</v>
      </c>
      <c r="D176" s="7"/>
      <c r="E176" s="9" t="str">
        <f aca="false">IFERROR(INDEX(exercicio!$B$2:$B$190,MATCH(A176,exercicio!$A$2:$A$190,0)),"")</f>
        <v>Levantamento Terra</v>
      </c>
      <c r="F176" s="9" t="str">
        <f aca="false">IFERROR(INDEX(exercicio!$B$2:$B$190,MATCH(B176,exercicio!$A$2:$A$190,0)),"")</f>
        <v>Elevação Pélvica com Barra</v>
      </c>
      <c r="G176" s="8" t="b">
        <f aca="false">COUNTIF(exercicio_equipamento!$A$2:$A$400,B176)=0</f>
        <v>0</v>
      </c>
    </row>
    <row r="177" customFormat="false" ht="15" hidden="false" customHeight="false" outlineLevel="0" collapsed="false">
      <c r="A177" s="6" t="n">
        <v>53</v>
      </c>
      <c r="B177" s="6" t="n">
        <v>54</v>
      </c>
      <c r="C177" s="6" t="n">
        <v>1</v>
      </c>
      <c r="D177" s="7"/>
      <c r="E177" s="9" t="str">
        <f aca="false">IFERROR(INDEX(exercicio!$B$2:$B$190,MATCH(A177,exercicio!$A$2:$A$190,0)),"")</f>
        <v>Elevação Pélvica com Peso do Corpo</v>
      </c>
      <c r="F177" s="9" t="str">
        <f aca="false">IFERROR(INDEX(exercicio!$B$2:$B$190,MATCH(B177,exercicio!$A$2:$A$190,0)),"")</f>
        <v>Elevação Pélvica com Barra</v>
      </c>
      <c r="G177" s="8" t="b">
        <f aca="false">COUNTIF(exercicio_equipamento!$A$2:$A$400,B177)=0</f>
        <v>0</v>
      </c>
    </row>
    <row r="178" customFormat="false" ht="15" hidden="false" customHeight="false" outlineLevel="0" collapsed="false">
      <c r="A178" s="6" t="n">
        <v>53</v>
      </c>
      <c r="B178" s="6" t="n">
        <v>51</v>
      </c>
      <c r="C178" s="6" t="n">
        <v>2</v>
      </c>
      <c r="D178" s="7"/>
      <c r="E178" s="9" t="str">
        <f aca="false">IFERROR(INDEX(exercicio!$B$2:$B$190,MATCH(A178,exercicio!$A$2:$A$190,0)),"")</f>
        <v>Elevação Pélvica com Peso do Corpo</v>
      </c>
      <c r="F178" s="9" t="str">
        <f aca="false">IFERROR(INDEX(exercicio!$B$2:$B$190,MATCH(B178,exercicio!$A$2:$A$190,0)),"")</f>
        <v>Stiff Unilateral</v>
      </c>
      <c r="G178" s="8" t="b">
        <f aca="false">COUNTIF(exercicio_equipamento!$A$2:$A$400,B178)=0</f>
        <v>1</v>
      </c>
    </row>
    <row r="179" customFormat="false" ht="15" hidden="false" customHeight="false" outlineLevel="0" collapsed="false">
      <c r="A179" s="6" t="n">
        <v>53</v>
      </c>
      <c r="B179" s="6" t="n">
        <v>47</v>
      </c>
      <c r="C179" s="6" t="n">
        <v>3</v>
      </c>
      <c r="D179" s="7"/>
      <c r="E179" s="9" t="str">
        <f aca="false">IFERROR(INDEX(exercicio!$B$2:$B$190,MATCH(A179,exercicio!$A$2:$A$190,0)),"")</f>
        <v>Elevação Pélvica com Peso do Corpo</v>
      </c>
      <c r="F179" s="9" t="str">
        <f aca="false">IFERROR(INDEX(exercicio!$B$2:$B$190,MATCH(B179,exercicio!$A$2:$A$190,0)),"")</f>
        <v>Afundo</v>
      </c>
      <c r="G179" s="8" t="b">
        <f aca="false">COUNTIF(exercicio_equipamento!$A$2:$A$400,B179)=0</f>
        <v>1</v>
      </c>
    </row>
    <row r="180" customFormat="false" ht="15" hidden="false" customHeight="false" outlineLevel="0" collapsed="false">
      <c r="A180" s="6" t="n">
        <v>54</v>
      </c>
      <c r="B180" s="6" t="n">
        <v>53</v>
      </c>
      <c r="C180" s="6" t="n">
        <v>1</v>
      </c>
      <c r="D180" s="7"/>
      <c r="E180" s="9" t="str">
        <f aca="false">IFERROR(INDEX(exercicio!$B$2:$B$190,MATCH(A180,exercicio!$A$2:$A$190,0)),"")</f>
        <v>Elevação Pélvica com Barra</v>
      </c>
      <c r="F180" s="9" t="str">
        <f aca="false">IFERROR(INDEX(exercicio!$B$2:$B$190,MATCH(B180,exercicio!$A$2:$A$190,0)),"")</f>
        <v>Elevação Pélvica com Peso do Corpo</v>
      </c>
      <c r="G180" s="8" t="b">
        <f aca="false">COUNTIF(exercicio_equipamento!$A$2:$A$400,B180)=0</f>
        <v>1</v>
      </c>
    </row>
    <row r="181" customFormat="false" ht="15" hidden="false" customHeight="false" outlineLevel="0" collapsed="false">
      <c r="A181" s="6" t="n">
        <v>54</v>
      </c>
      <c r="B181" s="6" t="n">
        <v>48</v>
      </c>
      <c r="C181" s="6" t="n">
        <v>2</v>
      </c>
      <c r="D181" s="7"/>
      <c r="E181" s="9" t="str">
        <f aca="false">IFERROR(INDEX(exercicio!$B$2:$B$190,MATCH(A181,exercicio!$A$2:$A$190,0)),"")</f>
        <v>Elevação Pélvica com Barra</v>
      </c>
      <c r="F181" s="9" t="str">
        <f aca="false">IFERROR(INDEX(exercicio!$B$2:$B$190,MATCH(B181,exercicio!$A$2:$A$190,0)),"")</f>
        <v>Agachamento Búlgaro</v>
      </c>
      <c r="G181" s="8" t="b">
        <f aca="false">COUNTIF(exercicio_equipamento!$A$2:$A$400,B181)=0</f>
        <v>0</v>
      </c>
    </row>
    <row r="182" customFormat="false" ht="15" hidden="false" customHeight="false" outlineLevel="0" collapsed="false">
      <c r="A182" s="6" t="n">
        <v>54</v>
      </c>
      <c r="B182" s="6" t="n">
        <v>47</v>
      </c>
      <c r="C182" s="6" t="n">
        <v>3</v>
      </c>
      <c r="D182" s="7"/>
      <c r="E182" s="9" t="str">
        <f aca="false">IFERROR(INDEX(exercicio!$B$2:$B$190,MATCH(A182,exercicio!$A$2:$A$190,0)),"")</f>
        <v>Elevação Pélvica com Barra</v>
      </c>
      <c r="F182" s="9" t="str">
        <f aca="false">IFERROR(INDEX(exercicio!$B$2:$B$190,MATCH(B182,exercicio!$A$2:$A$190,0)),"")</f>
        <v>Afundo</v>
      </c>
      <c r="G182" s="8" t="b">
        <f aca="false">COUNTIF(exercicio_equipamento!$A$2:$A$400,B182)=0</f>
        <v>1</v>
      </c>
    </row>
    <row r="183" customFormat="false" ht="15" hidden="false" customHeight="false" outlineLevel="0" collapsed="false">
      <c r="A183" s="6" t="n">
        <v>55</v>
      </c>
      <c r="B183" s="6" t="n">
        <v>56</v>
      </c>
      <c r="C183" s="6" t="n">
        <v>1</v>
      </c>
      <c r="D183" s="7"/>
      <c r="E183" s="9" t="str">
        <f aca="false">IFERROR(INDEX(exercicio!$B$2:$B$190,MATCH(A183,exercicio!$A$2:$A$190,0)),"")</f>
        <v>Elevação de Panturrilha em Pé com Peso do Corpo</v>
      </c>
      <c r="F183" s="9" t="str">
        <f aca="false">IFERROR(INDEX(exercicio!$B$2:$B$190,MATCH(B183,exercicio!$A$2:$A$190,0)),"")</f>
        <v>Elevação de Panturrilha Unilateral com Peso do Corpo</v>
      </c>
      <c r="G183" s="8" t="b">
        <f aca="false">COUNTIF(exercicio_equipamento!$A$2:$A$400,B183)=0</f>
        <v>1</v>
      </c>
    </row>
    <row r="184" customFormat="false" ht="15" hidden="false" customHeight="false" outlineLevel="0" collapsed="false">
      <c r="A184" s="6" t="n">
        <v>55</v>
      </c>
      <c r="B184" s="6" t="n">
        <v>57</v>
      </c>
      <c r="C184" s="6" t="n">
        <v>2</v>
      </c>
      <c r="D184" s="7"/>
      <c r="E184" s="9" t="str">
        <f aca="false">IFERROR(INDEX(exercicio!$B$2:$B$190,MATCH(A184,exercicio!$A$2:$A$190,0)),"")</f>
        <v>Elevação de Panturrilha em Pé com Peso do Corpo</v>
      </c>
      <c r="F184" s="9" t="str">
        <f aca="false">IFERROR(INDEX(exercicio!$B$2:$B$190,MATCH(B184,exercicio!$A$2:$A$190,0)),"")</f>
        <v>Elevação de Panturrilha em Pé na Máquina</v>
      </c>
      <c r="G184" s="8" t="b">
        <f aca="false">COUNTIF(exercicio_equipamento!$A$2:$A$400,B184)=0</f>
        <v>0</v>
      </c>
    </row>
    <row r="185" customFormat="false" ht="15" hidden="false" customHeight="false" outlineLevel="0" collapsed="false">
      <c r="A185" s="6" t="n">
        <v>55</v>
      </c>
      <c r="B185" s="6" t="n">
        <v>58</v>
      </c>
      <c r="C185" s="6" t="n">
        <v>3</v>
      </c>
      <c r="D185" s="7"/>
      <c r="E185" s="9" t="str">
        <f aca="false">IFERROR(INDEX(exercicio!$B$2:$B$190,MATCH(A185,exercicio!$A$2:$A$190,0)),"")</f>
        <v>Elevação de Panturrilha em Pé com Peso do Corpo</v>
      </c>
      <c r="F185" s="9" t="str">
        <f aca="false">IFERROR(INDEX(exercicio!$B$2:$B$190,MATCH(B185,exercicio!$A$2:$A$190,0)),"")</f>
        <v>Elevação de Panturrilha com Barra</v>
      </c>
      <c r="G185" s="8" t="b">
        <f aca="false">COUNTIF(exercicio_equipamento!$A$2:$A$400,B185)=0</f>
        <v>0</v>
      </c>
    </row>
    <row r="186" customFormat="false" ht="15" hidden="false" customHeight="false" outlineLevel="0" collapsed="false">
      <c r="A186" s="6" t="n">
        <v>56</v>
      </c>
      <c r="B186" s="6" t="n">
        <v>55</v>
      </c>
      <c r="C186" s="6" t="n">
        <v>1</v>
      </c>
      <c r="D186" s="7"/>
      <c r="E186" s="9" t="str">
        <f aca="false">IFERROR(INDEX(exercicio!$B$2:$B$190,MATCH(A186,exercicio!$A$2:$A$190,0)),"")</f>
        <v>Elevação de Panturrilha Unilateral com Peso do Corpo</v>
      </c>
      <c r="F186" s="9" t="str">
        <f aca="false">IFERROR(INDEX(exercicio!$B$2:$B$190,MATCH(B186,exercicio!$A$2:$A$190,0)),"")</f>
        <v>Elevação de Panturrilha em Pé com Peso do Corpo</v>
      </c>
      <c r="G186" s="8" t="b">
        <f aca="false">COUNTIF(exercicio_equipamento!$A$2:$A$400,B186)=0</f>
        <v>1</v>
      </c>
    </row>
    <row r="187" customFormat="false" ht="15" hidden="false" customHeight="false" outlineLevel="0" collapsed="false">
      <c r="A187" s="6" t="n">
        <v>56</v>
      </c>
      <c r="B187" s="6" t="n">
        <v>57</v>
      </c>
      <c r="C187" s="6" t="n">
        <v>2</v>
      </c>
      <c r="D187" s="7"/>
      <c r="E187" s="9" t="str">
        <f aca="false">IFERROR(INDEX(exercicio!$B$2:$B$190,MATCH(A187,exercicio!$A$2:$A$190,0)),"")</f>
        <v>Elevação de Panturrilha Unilateral com Peso do Corpo</v>
      </c>
      <c r="F187" s="9" t="str">
        <f aca="false">IFERROR(INDEX(exercicio!$B$2:$B$190,MATCH(B187,exercicio!$A$2:$A$190,0)),"")</f>
        <v>Elevação de Panturrilha em Pé na Máquina</v>
      </c>
      <c r="G187" s="8" t="b">
        <f aca="false">COUNTIF(exercicio_equipamento!$A$2:$A$400,B187)=0</f>
        <v>0</v>
      </c>
    </row>
    <row r="188" customFormat="false" ht="15" hidden="false" customHeight="false" outlineLevel="0" collapsed="false">
      <c r="A188" s="6" t="n">
        <v>56</v>
      </c>
      <c r="B188" s="6" t="n">
        <v>58</v>
      </c>
      <c r="C188" s="6" t="n">
        <v>3</v>
      </c>
      <c r="D188" s="7"/>
      <c r="E188" s="9" t="str">
        <f aca="false">IFERROR(INDEX(exercicio!$B$2:$B$190,MATCH(A188,exercicio!$A$2:$A$190,0)),"")</f>
        <v>Elevação de Panturrilha Unilateral com Peso do Corpo</v>
      </c>
      <c r="F188" s="9" t="str">
        <f aca="false">IFERROR(INDEX(exercicio!$B$2:$B$190,MATCH(B188,exercicio!$A$2:$A$190,0)),"")</f>
        <v>Elevação de Panturrilha com Barra</v>
      </c>
      <c r="G188" s="8" t="b">
        <f aca="false">COUNTIF(exercicio_equipamento!$A$2:$A$400,B188)=0</f>
        <v>0</v>
      </c>
    </row>
    <row r="189" customFormat="false" ht="15" hidden="false" customHeight="false" outlineLevel="0" collapsed="false">
      <c r="A189" s="6" t="n">
        <v>57</v>
      </c>
      <c r="B189" s="6" t="n">
        <v>55</v>
      </c>
      <c r="C189" s="6" t="n">
        <v>1</v>
      </c>
      <c r="D189" s="7"/>
      <c r="E189" s="9" t="str">
        <f aca="false">IFERROR(INDEX(exercicio!$B$2:$B$190,MATCH(A189,exercicio!$A$2:$A$190,0)),"")</f>
        <v>Elevação de Panturrilha em Pé na Máquina</v>
      </c>
      <c r="F189" s="9" t="str">
        <f aca="false">IFERROR(INDEX(exercicio!$B$2:$B$190,MATCH(B189,exercicio!$A$2:$A$190,0)),"")</f>
        <v>Elevação de Panturrilha em Pé com Peso do Corpo</v>
      </c>
      <c r="G189" s="8" t="b">
        <f aca="false">COUNTIF(exercicio_equipamento!$A$2:$A$400,B189)=0</f>
        <v>1</v>
      </c>
    </row>
    <row r="190" customFormat="false" ht="15" hidden="false" customHeight="false" outlineLevel="0" collapsed="false">
      <c r="A190" s="6" t="n">
        <v>57</v>
      </c>
      <c r="B190" s="6" t="n">
        <v>56</v>
      </c>
      <c r="C190" s="6" t="n">
        <v>2</v>
      </c>
      <c r="D190" s="7"/>
      <c r="E190" s="9" t="str">
        <f aca="false">IFERROR(INDEX(exercicio!$B$2:$B$190,MATCH(A190,exercicio!$A$2:$A$190,0)),"")</f>
        <v>Elevação de Panturrilha em Pé na Máquina</v>
      </c>
      <c r="F190" s="9" t="str">
        <f aca="false">IFERROR(INDEX(exercicio!$B$2:$B$190,MATCH(B190,exercicio!$A$2:$A$190,0)),"")</f>
        <v>Elevação de Panturrilha Unilateral com Peso do Corpo</v>
      </c>
      <c r="G190" s="8" t="b">
        <f aca="false">COUNTIF(exercicio_equipamento!$A$2:$A$400,B190)=0</f>
        <v>1</v>
      </c>
    </row>
    <row r="191" customFormat="false" ht="15" hidden="false" customHeight="false" outlineLevel="0" collapsed="false">
      <c r="A191" s="6" t="n">
        <v>57</v>
      </c>
      <c r="B191" s="6" t="n">
        <v>58</v>
      </c>
      <c r="C191" s="6" t="n">
        <v>3</v>
      </c>
      <c r="D191" s="7"/>
      <c r="E191" s="9" t="str">
        <f aca="false">IFERROR(INDEX(exercicio!$B$2:$B$190,MATCH(A191,exercicio!$A$2:$A$190,0)),"")</f>
        <v>Elevação de Panturrilha em Pé na Máquina</v>
      </c>
      <c r="F191" s="9" t="str">
        <f aca="false">IFERROR(INDEX(exercicio!$B$2:$B$190,MATCH(B191,exercicio!$A$2:$A$190,0)),"")</f>
        <v>Elevação de Panturrilha com Barra</v>
      </c>
      <c r="G191" s="8" t="b">
        <f aca="false">COUNTIF(exercicio_equipamento!$A$2:$A$400,B191)=0</f>
        <v>0</v>
      </c>
    </row>
    <row r="192" customFormat="false" ht="15" hidden="false" customHeight="false" outlineLevel="0" collapsed="false">
      <c r="A192" s="6" t="n">
        <v>57</v>
      </c>
      <c r="B192" s="6" t="n">
        <v>84</v>
      </c>
      <c r="C192" s="6" t="n">
        <v>4</v>
      </c>
      <c r="D192" s="7"/>
      <c r="E192" s="9" t="str">
        <f aca="false">IFERROR(INDEX(exercicio!$B$2:$B$190,MATCH(A192,exercicio!$A$2:$A$190,0)),"")</f>
        <v>Elevação de Panturrilha em Pé na Máquina</v>
      </c>
      <c r="F192" s="9" t="str">
        <f aca="false">IFERROR(INDEX(exercicio!$B$2:$B$190,MATCH(B192,exercicio!$A$2:$A$190,0)),"")</f>
        <v>Elevação de Panturrilha Sentado</v>
      </c>
      <c r="G192" s="8" t="b">
        <f aca="false">COUNTIF(exercicio_equipamento!$A$2:$A$400,B192)=0</f>
        <v>0</v>
      </c>
    </row>
    <row r="193" customFormat="false" ht="15" hidden="false" customHeight="false" outlineLevel="0" collapsed="false">
      <c r="A193" s="6" t="n">
        <v>58</v>
      </c>
      <c r="B193" s="6" t="n">
        <v>55</v>
      </c>
      <c r="C193" s="6" t="n">
        <v>1</v>
      </c>
      <c r="D193" s="7"/>
      <c r="E193" s="9" t="str">
        <f aca="false">IFERROR(INDEX(exercicio!$B$2:$B$190,MATCH(A193,exercicio!$A$2:$A$190,0)),"")</f>
        <v>Elevação de Panturrilha com Barra</v>
      </c>
      <c r="F193" s="9" t="str">
        <f aca="false">IFERROR(INDEX(exercicio!$B$2:$B$190,MATCH(B193,exercicio!$A$2:$A$190,0)),"")</f>
        <v>Elevação de Panturrilha em Pé com Peso do Corpo</v>
      </c>
      <c r="G193" s="8" t="b">
        <f aca="false">COUNTIF(exercicio_equipamento!$A$2:$A$400,B193)=0</f>
        <v>1</v>
      </c>
    </row>
    <row r="194" customFormat="false" ht="15" hidden="false" customHeight="false" outlineLevel="0" collapsed="false">
      <c r="A194" s="6" t="n">
        <v>58</v>
      </c>
      <c r="B194" s="6" t="n">
        <v>56</v>
      </c>
      <c r="C194" s="6" t="n">
        <v>2</v>
      </c>
      <c r="D194" s="7"/>
      <c r="E194" s="9" t="str">
        <f aca="false">IFERROR(INDEX(exercicio!$B$2:$B$190,MATCH(A194,exercicio!$A$2:$A$190,0)),"")</f>
        <v>Elevação de Panturrilha com Barra</v>
      </c>
      <c r="F194" s="9" t="str">
        <f aca="false">IFERROR(INDEX(exercicio!$B$2:$B$190,MATCH(B194,exercicio!$A$2:$A$190,0)),"")</f>
        <v>Elevação de Panturrilha Unilateral com Peso do Corpo</v>
      </c>
      <c r="G194" s="8" t="b">
        <f aca="false">COUNTIF(exercicio_equipamento!$A$2:$A$400,B194)=0</f>
        <v>1</v>
      </c>
    </row>
    <row r="195" customFormat="false" ht="15" hidden="false" customHeight="false" outlineLevel="0" collapsed="false">
      <c r="A195" s="6" t="n">
        <v>58</v>
      </c>
      <c r="B195" s="6" t="n">
        <v>57</v>
      </c>
      <c r="C195" s="6" t="n">
        <v>3</v>
      </c>
      <c r="D195" s="7"/>
      <c r="E195" s="9" t="str">
        <f aca="false">IFERROR(INDEX(exercicio!$B$2:$B$190,MATCH(A195,exercicio!$A$2:$A$190,0)),"")</f>
        <v>Elevação de Panturrilha com Barra</v>
      </c>
      <c r="F195" s="9" t="str">
        <f aca="false">IFERROR(INDEX(exercicio!$B$2:$B$190,MATCH(B195,exercicio!$A$2:$A$190,0)),"")</f>
        <v>Elevação de Panturrilha em Pé na Máquina</v>
      </c>
      <c r="G195" s="8" t="b">
        <f aca="false">COUNTIF(exercicio_equipamento!$A$2:$A$400,B195)=0</f>
        <v>0</v>
      </c>
    </row>
    <row r="196" customFormat="false" ht="15" hidden="false" customHeight="false" outlineLevel="0" collapsed="false">
      <c r="A196" s="6" t="n">
        <v>59</v>
      </c>
      <c r="B196" s="6" t="n">
        <v>60</v>
      </c>
      <c r="C196" s="6" t="n">
        <v>1</v>
      </c>
      <c r="D196" s="7"/>
      <c r="E196" s="9" t="str">
        <f aca="false">IFERROR(INDEX(exercicio!$B$2:$B$190,MATCH(A196,exercicio!$A$2:$A$190,0)),"")</f>
        <v>Prancha</v>
      </c>
      <c r="F196" s="9" t="str">
        <f aca="false">IFERROR(INDEX(exercicio!$B$2:$B$190,MATCH(B196,exercicio!$A$2:$A$190,0)),"")</f>
        <v>Abdominal Supra</v>
      </c>
      <c r="G196" s="8" t="b">
        <f aca="false">COUNTIF(exercicio_equipamento!$A$2:$A$400,B196)=0</f>
        <v>1</v>
      </c>
    </row>
    <row r="197" customFormat="false" ht="15" hidden="false" customHeight="false" outlineLevel="0" collapsed="false">
      <c r="A197" s="6" t="n">
        <v>59</v>
      </c>
      <c r="B197" s="6" t="n">
        <v>61</v>
      </c>
      <c r="C197" s="6" t="n">
        <v>2</v>
      </c>
      <c r="D197" s="7"/>
      <c r="E197" s="9" t="str">
        <f aca="false">IFERROR(INDEX(exercicio!$B$2:$B$190,MATCH(A197,exercicio!$A$2:$A$190,0)),"")</f>
        <v>Prancha</v>
      </c>
      <c r="F197" s="9" t="str">
        <f aca="false">IFERROR(INDEX(exercicio!$B$2:$B$190,MATCH(B197,exercicio!$A$2:$A$190,0)),"")</f>
        <v>Elevação de Pernas</v>
      </c>
      <c r="G197" s="8" t="b">
        <f aca="false">COUNTIF(exercicio_equipamento!$A$2:$A$400,B197)=0</f>
        <v>1</v>
      </c>
    </row>
    <row r="198" customFormat="false" ht="15" hidden="false" customHeight="false" outlineLevel="0" collapsed="false">
      <c r="A198" s="6" t="n">
        <v>59</v>
      </c>
      <c r="B198" s="6" t="n">
        <v>62</v>
      </c>
      <c r="C198" s="6" t="n">
        <v>3</v>
      </c>
      <c r="D198" s="7"/>
      <c r="E198" s="9" t="str">
        <f aca="false">IFERROR(INDEX(exercicio!$B$2:$B$190,MATCH(A198,exercicio!$A$2:$A$190,0)),"")</f>
        <v>Prancha</v>
      </c>
      <c r="F198" s="9" t="str">
        <f aca="false">IFERROR(INDEX(exercicio!$B$2:$B$190,MATCH(B198,exercicio!$A$2:$A$190,0)),"")</f>
        <v>Escalador</v>
      </c>
      <c r="G198" s="8" t="b">
        <f aca="false">COUNTIF(exercicio_equipamento!$A$2:$A$400,B198)=0</f>
        <v>1</v>
      </c>
    </row>
    <row r="199" customFormat="false" ht="15" hidden="false" customHeight="false" outlineLevel="0" collapsed="false">
      <c r="A199" s="6" t="n">
        <v>59</v>
      </c>
      <c r="B199" s="6" t="n">
        <v>65</v>
      </c>
      <c r="C199" s="6" t="n">
        <v>4</v>
      </c>
      <c r="D199" s="7"/>
      <c r="E199" s="9" t="str">
        <f aca="false">IFERROR(INDEX(exercicio!$B$2:$B$190,MATCH(A199,exercicio!$A$2:$A$190,0)),"")</f>
        <v>Prancha</v>
      </c>
      <c r="F199" s="9" t="str">
        <f aca="false">IFERROR(INDEX(exercicio!$B$2:$B$190,MATCH(B199,exercicio!$A$2:$A$190,0)),"")</f>
        <v>Rolamento com Roda Abdominal</v>
      </c>
      <c r="G199" s="8" t="b">
        <f aca="false">COUNTIF(exercicio_equipamento!$A$2:$A$400,B199)=0</f>
        <v>0</v>
      </c>
    </row>
    <row r="200" customFormat="false" ht="15" hidden="false" customHeight="false" outlineLevel="0" collapsed="false">
      <c r="A200" s="6" t="n">
        <v>60</v>
      </c>
      <c r="B200" s="6" t="n">
        <v>59</v>
      </c>
      <c r="C200" s="6" t="n">
        <v>1</v>
      </c>
      <c r="D200" s="7"/>
      <c r="E200" s="9" t="str">
        <f aca="false">IFERROR(INDEX(exercicio!$B$2:$B$190,MATCH(A200,exercicio!$A$2:$A$190,0)),"")</f>
        <v>Abdominal Supra</v>
      </c>
      <c r="F200" s="9" t="str">
        <f aca="false">IFERROR(INDEX(exercicio!$B$2:$B$190,MATCH(B200,exercicio!$A$2:$A$190,0)),"")</f>
        <v>Prancha</v>
      </c>
      <c r="G200" s="8" t="b">
        <f aca="false">COUNTIF(exercicio_equipamento!$A$2:$A$400,B200)=0</f>
        <v>1</v>
      </c>
    </row>
    <row r="201" customFormat="false" ht="15" hidden="false" customHeight="false" outlineLevel="0" collapsed="false">
      <c r="A201" s="6" t="n">
        <v>60</v>
      </c>
      <c r="B201" s="6" t="n">
        <v>61</v>
      </c>
      <c r="C201" s="6" t="n">
        <v>2</v>
      </c>
      <c r="D201" s="7"/>
      <c r="E201" s="9" t="str">
        <f aca="false">IFERROR(INDEX(exercicio!$B$2:$B$190,MATCH(A201,exercicio!$A$2:$A$190,0)),"")</f>
        <v>Abdominal Supra</v>
      </c>
      <c r="F201" s="9" t="str">
        <f aca="false">IFERROR(INDEX(exercicio!$B$2:$B$190,MATCH(B201,exercicio!$A$2:$A$190,0)),"")</f>
        <v>Elevação de Pernas</v>
      </c>
      <c r="G201" s="8" t="b">
        <f aca="false">COUNTIF(exercicio_equipamento!$A$2:$A$400,B201)=0</f>
        <v>1</v>
      </c>
    </row>
    <row r="202" customFormat="false" ht="15" hidden="false" customHeight="false" outlineLevel="0" collapsed="false">
      <c r="A202" s="6" t="n">
        <v>60</v>
      </c>
      <c r="B202" s="6" t="n">
        <v>63</v>
      </c>
      <c r="C202" s="6" t="n">
        <v>3</v>
      </c>
      <c r="D202" s="7"/>
      <c r="E202" s="9" t="str">
        <f aca="false">IFERROR(INDEX(exercicio!$B$2:$B$190,MATCH(A202,exercicio!$A$2:$A$190,0)),"")</f>
        <v>Abdominal Supra</v>
      </c>
      <c r="F202" s="9" t="str">
        <f aca="false">IFERROR(INDEX(exercicio!$B$2:$B$190,MATCH(B202,exercicio!$A$2:$A$190,0)),"")</f>
        <v>Abdominal na Polia Alta</v>
      </c>
      <c r="G202" s="8" t="b">
        <f aca="false">COUNTIF(exercicio_equipamento!$A$2:$A$400,B202)=0</f>
        <v>0</v>
      </c>
    </row>
    <row r="203" customFormat="false" ht="15" hidden="false" customHeight="false" outlineLevel="0" collapsed="false">
      <c r="A203" s="6" t="n">
        <v>60</v>
      </c>
      <c r="B203" s="6" t="n">
        <v>64</v>
      </c>
      <c r="C203" s="6" t="n">
        <v>4</v>
      </c>
      <c r="D203" s="7"/>
      <c r="E203" s="9" t="str">
        <f aca="false">IFERROR(INDEX(exercicio!$B$2:$B$190,MATCH(A203,exercicio!$A$2:$A$190,0)),"")</f>
        <v>Abdominal Supra</v>
      </c>
      <c r="F203" s="9" t="str">
        <f aca="false">IFERROR(INDEX(exercicio!$B$2:$B$190,MATCH(B203,exercicio!$A$2:$A$190,0)),"")</f>
        <v>Abdominal na Máquina</v>
      </c>
      <c r="G203" s="8" t="b">
        <f aca="false">COUNTIF(exercicio_equipamento!$A$2:$A$400,B203)=0</f>
        <v>0</v>
      </c>
    </row>
    <row r="204" customFormat="false" ht="15" hidden="false" customHeight="false" outlineLevel="0" collapsed="false">
      <c r="A204" s="6" t="n">
        <v>61</v>
      </c>
      <c r="B204" s="6" t="n">
        <v>59</v>
      </c>
      <c r="C204" s="6" t="n">
        <v>1</v>
      </c>
      <c r="D204" s="7"/>
      <c r="E204" s="9" t="str">
        <f aca="false">IFERROR(INDEX(exercicio!$B$2:$B$190,MATCH(A204,exercicio!$A$2:$A$190,0)),"")</f>
        <v>Elevação de Pernas</v>
      </c>
      <c r="F204" s="9" t="str">
        <f aca="false">IFERROR(INDEX(exercicio!$B$2:$B$190,MATCH(B204,exercicio!$A$2:$A$190,0)),"")</f>
        <v>Prancha</v>
      </c>
      <c r="G204" s="8" t="b">
        <f aca="false">COUNTIF(exercicio_equipamento!$A$2:$A$400,B204)=0</f>
        <v>1</v>
      </c>
    </row>
    <row r="205" customFormat="false" ht="15" hidden="false" customHeight="false" outlineLevel="0" collapsed="false">
      <c r="A205" s="6" t="n">
        <v>61</v>
      </c>
      <c r="B205" s="6" t="n">
        <v>60</v>
      </c>
      <c r="C205" s="6" t="n">
        <v>2</v>
      </c>
      <c r="D205" s="7"/>
      <c r="E205" s="9" t="str">
        <f aca="false">IFERROR(INDEX(exercicio!$B$2:$B$190,MATCH(A205,exercicio!$A$2:$A$190,0)),"")</f>
        <v>Elevação de Pernas</v>
      </c>
      <c r="F205" s="9" t="str">
        <f aca="false">IFERROR(INDEX(exercicio!$B$2:$B$190,MATCH(B205,exercicio!$A$2:$A$190,0)),"")</f>
        <v>Abdominal Supra</v>
      </c>
      <c r="G205" s="8" t="b">
        <f aca="false">COUNTIF(exercicio_equipamento!$A$2:$A$400,B205)=0</f>
        <v>1</v>
      </c>
    </row>
    <row r="206" customFormat="false" ht="15" hidden="false" customHeight="false" outlineLevel="0" collapsed="false">
      <c r="A206" s="6" t="n">
        <v>61</v>
      </c>
      <c r="B206" s="6" t="n">
        <v>66</v>
      </c>
      <c r="C206" s="6" t="n">
        <v>3</v>
      </c>
      <c r="D206" s="7"/>
      <c r="E206" s="9" t="str">
        <f aca="false">IFERROR(INDEX(exercicio!$B$2:$B$190,MATCH(A206,exercicio!$A$2:$A$190,0)),"")</f>
        <v>Elevação de Pernas</v>
      </c>
      <c r="F206" s="9" t="str">
        <f aca="false">IFERROR(INDEX(exercicio!$B$2:$B$190,MATCH(B206,exercicio!$A$2:$A$190,0)),"")</f>
        <v>Elevação de Pernas na Cadeira Capitão</v>
      </c>
      <c r="G206" s="8" t="b">
        <f aca="false">COUNTIF(exercicio_equipamento!$A$2:$A$400,B206)=0</f>
        <v>0</v>
      </c>
    </row>
    <row r="207" customFormat="false" ht="15" hidden="false" customHeight="false" outlineLevel="0" collapsed="false">
      <c r="A207" s="6" t="n">
        <v>62</v>
      </c>
      <c r="B207" s="6" t="n">
        <v>59</v>
      </c>
      <c r="C207" s="6" t="n">
        <v>1</v>
      </c>
      <c r="D207" s="7"/>
      <c r="E207" s="9" t="str">
        <f aca="false">IFERROR(INDEX(exercicio!$B$2:$B$190,MATCH(A207,exercicio!$A$2:$A$190,0)),"")</f>
        <v>Escalador</v>
      </c>
      <c r="F207" s="9" t="str">
        <f aca="false">IFERROR(INDEX(exercicio!$B$2:$B$190,MATCH(B207,exercicio!$A$2:$A$190,0)),"")</f>
        <v>Prancha</v>
      </c>
      <c r="G207" s="8" t="b">
        <f aca="false">COUNTIF(exercicio_equipamento!$A$2:$A$400,B207)=0</f>
        <v>1</v>
      </c>
    </row>
    <row r="208" customFormat="false" ht="15" hidden="false" customHeight="false" outlineLevel="0" collapsed="false">
      <c r="A208" s="6" t="n">
        <v>62</v>
      </c>
      <c r="B208" s="6" t="n">
        <v>60</v>
      </c>
      <c r="C208" s="6" t="n">
        <v>2</v>
      </c>
      <c r="D208" s="7"/>
      <c r="E208" s="9" t="str">
        <f aca="false">IFERROR(INDEX(exercicio!$B$2:$B$190,MATCH(A208,exercicio!$A$2:$A$190,0)),"")</f>
        <v>Escalador</v>
      </c>
      <c r="F208" s="9" t="str">
        <f aca="false">IFERROR(INDEX(exercicio!$B$2:$B$190,MATCH(B208,exercicio!$A$2:$A$190,0)),"")</f>
        <v>Abdominal Supra</v>
      </c>
      <c r="G208" s="8" t="b">
        <f aca="false">COUNTIF(exercicio_equipamento!$A$2:$A$400,B208)=0</f>
        <v>1</v>
      </c>
    </row>
    <row r="209" customFormat="false" ht="15" hidden="false" customHeight="false" outlineLevel="0" collapsed="false">
      <c r="A209" s="6" t="n">
        <v>62</v>
      </c>
      <c r="B209" s="6" t="n">
        <v>61</v>
      </c>
      <c r="C209" s="6" t="n">
        <v>3</v>
      </c>
      <c r="D209" s="7"/>
      <c r="E209" s="9" t="str">
        <f aca="false">IFERROR(INDEX(exercicio!$B$2:$B$190,MATCH(A209,exercicio!$A$2:$A$190,0)),"")</f>
        <v>Escalador</v>
      </c>
      <c r="F209" s="9" t="str">
        <f aca="false">IFERROR(INDEX(exercicio!$B$2:$B$190,MATCH(B209,exercicio!$A$2:$A$190,0)),"")</f>
        <v>Elevação de Pernas</v>
      </c>
      <c r="G209" s="8" t="b">
        <f aca="false">COUNTIF(exercicio_equipamento!$A$2:$A$400,B209)=0</f>
        <v>1</v>
      </c>
    </row>
    <row r="210" customFormat="false" ht="15" hidden="false" customHeight="false" outlineLevel="0" collapsed="false">
      <c r="A210" s="6" t="n">
        <v>63</v>
      </c>
      <c r="B210" s="6" t="n">
        <v>60</v>
      </c>
      <c r="C210" s="6" t="n">
        <v>1</v>
      </c>
      <c r="D210" s="7"/>
      <c r="E210" s="9" t="str">
        <f aca="false">IFERROR(INDEX(exercicio!$B$2:$B$190,MATCH(A210,exercicio!$A$2:$A$190,0)),"")</f>
        <v>Abdominal na Polia Alta</v>
      </c>
      <c r="F210" s="9" t="str">
        <f aca="false">IFERROR(INDEX(exercicio!$B$2:$B$190,MATCH(B210,exercicio!$A$2:$A$190,0)),"")</f>
        <v>Abdominal Supra</v>
      </c>
      <c r="G210" s="8" t="b">
        <f aca="false">COUNTIF(exercicio_equipamento!$A$2:$A$400,B210)=0</f>
        <v>1</v>
      </c>
    </row>
    <row r="211" customFormat="false" ht="15" hidden="false" customHeight="false" outlineLevel="0" collapsed="false">
      <c r="A211" s="6" t="n">
        <v>63</v>
      </c>
      <c r="B211" s="6" t="n">
        <v>59</v>
      </c>
      <c r="C211" s="6" t="n">
        <v>2</v>
      </c>
      <c r="D211" s="7"/>
      <c r="E211" s="9" t="str">
        <f aca="false">IFERROR(INDEX(exercicio!$B$2:$B$190,MATCH(A211,exercicio!$A$2:$A$190,0)),"")</f>
        <v>Abdominal na Polia Alta</v>
      </c>
      <c r="F211" s="9" t="str">
        <f aca="false">IFERROR(INDEX(exercicio!$B$2:$B$190,MATCH(B211,exercicio!$A$2:$A$190,0)),"")</f>
        <v>Prancha</v>
      </c>
      <c r="G211" s="8" t="b">
        <f aca="false">COUNTIF(exercicio_equipamento!$A$2:$A$400,B211)=0</f>
        <v>1</v>
      </c>
    </row>
    <row r="212" customFormat="false" ht="15" hidden="false" customHeight="false" outlineLevel="0" collapsed="false">
      <c r="A212" s="6" t="n">
        <v>63</v>
      </c>
      <c r="B212" s="6" t="n">
        <v>64</v>
      </c>
      <c r="C212" s="6" t="n">
        <v>3</v>
      </c>
      <c r="D212" s="7"/>
      <c r="E212" s="9" t="str">
        <f aca="false">IFERROR(INDEX(exercicio!$B$2:$B$190,MATCH(A212,exercicio!$A$2:$A$190,0)),"")</f>
        <v>Abdominal na Polia Alta</v>
      </c>
      <c r="F212" s="9" t="str">
        <f aca="false">IFERROR(INDEX(exercicio!$B$2:$B$190,MATCH(B212,exercicio!$A$2:$A$190,0)),"")</f>
        <v>Abdominal na Máquina</v>
      </c>
      <c r="G212" s="8" t="b">
        <f aca="false">COUNTIF(exercicio_equipamento!$A$2:$A$400,B212)=0</f>
        <v>0</v>
      </c>
    </row>
    <row r="213" customFormat="false" ht="15" hidden="false" customHeight="false" outlineLevel="0" collapsed="false">
      <c r="A213" s="6" t="n">
        <v>63</v>
      </c>
      <c r="B213" s="6" t="n">
        <v>65</v>
      </c>
      <c r="C213" s="6" t="n">
        <v>4</v>
      </c>
      <c r="D213" s="7"/>
      <c r="E213" s="9" t="str">
        <f aca="false">IFERROR(INDEX(exercicio!$B$2:$B$190,MATCH(A213,exercicio!$A$2:$A$190,0)),"")</f>
        <v>Abdominal na Polia Alta</v>
      </c>
      <c r="F213" s="9" t="str">
        <f aca="false">IFERROR(INDEX(exercicio!$B$2:$B$190,MATCH(B213,exercicio!$A$2:$A$190,0)),"")</f>
        <v>Rolamento com Roda Abdominal</v>
      </c>
      <c r="G213" s="8" t="b">
        <f aca="false">COUNTIF(exercicio_equipamento!$A$2:$A$400,B213)=0</f>
        <v>0</v>
      </c>
    </row>
    <row r="214" customFormat="false" ht="15" hidden="false" customHeight="false" outlineLevel="0" collapsed="false">
      <c r="A214" s="6" t="n">
        <v>64</v>
      </c>
      <c r="B214" s="6" t="n">
        <v>60</v>
      </c>
      <c r="C214" s="6" t="n">
        <v>1</v>
      </c>
      <c r="D214" s="7"/>
      <c r="E214" s="9" t="str">
        <f aca="false">IFERROR(INDEX(exercicio!$B$2:$B$190,MATCH(A214,exercicio!$A$2:$A$190,0)),"")</f>
        <v>Abdominal na Máquina</v>
      </c>
      <c r="F214" s="9" t="str">
        <f aca="false">IFERROR(INDEX(exercicio!$B$2:$B$190,MATCH(B214,exercicio!$A$2:$A$190,0)),"")</f>
        <v>Abdominal Supra</v>
      </c>
      <c r="G214" s="8" t="b">
        <f aca="false">COUNTIF(exercicio_equipamento!$A$2:$A$400,B214)=0</f>
        <v>1</v>
      </c>
    </row>
    <row r="215" customFormat="false" ht="15" hidden="false" customHeight="false" outlineLevel="0" collapsed="false">
      <c r="A215" s="6" t="n">
        <v>64</v>
      </c>
      <c r="B215" s="6" t="n">
        <v>59</v>
      </c>
      <c r="C215" s="6" t="n">
        <v>2</v>
      </c>
      <c r="D215" s="7"/>
      <c r="E215" s="9" t="str">
        <f aca="false">IFERROR(INDEX(exercicio!$B$2:$B$190,MATCH(A215,exercicio!$A$2:$A$190,0)),"")</f>
        <v>Abdominal na Máquina</v>
      </c>
      <c r="F215" s="9" t="str">
        <f aca="false">IFERROR(INDEX(exercicio!$B$2:$B$190,MATCH(B215,exercicio!$A$2:$A$190,0)),"")</f>
        <v>Prancha</v>
      </c>
      <c r="G215" s="8" t="b">
        <f aca="false">COUNTIF(exercicio_equipamento!$A$2:$A$400,B215)=0</f>
        <v>1</v>
      </c>
    </row>
    <row r="216" customFormat="false" ht="15" hidden="false" customHeight="false" outlineLevel="0" collapsed="false">
      <c r="A216" s="6" t="n">
        <v>64</v>
      </c>
      <c r="B216" s="6" t="n">
        <v>63</v>
      </c>
      <c r="C216" s="6" t="n">
        <v>3</v>
      </c>
      <c r="D216" s="7"/>
      <c r="E216" s="9" t="str">
        <f aca="false">IFERROR(INDEX(exercicio!$B$2:$B$190,MATCH(A216,exercicio!$A$2:$A$190,0)),"")</f>
        <v>Abdominal na Máquina</v>
      </c>
      <c r="F216" s="9" t="str">
        <f aca="false">IFERROR(INDEX(exercicio!$B$2:$B$190,MATCH(B216,exercicio!$A$2:$A$190,0)),"")</f>
        <v>Abdominal na Polia Alta</v>
      </c>
      <c r="G216" s="8" t="b">
        <f aca="false">COUNTIF(exercicio_equipamento!$A$2:$A$400,B216)=0</f>
        <v>0</v>
      </c>
    </row>
    <row r="217" customFormat="false" ht="15" hidden="false" customHeight="false" outlineLevel="0" collapsed="false">
      <c r="A217" s="6" t="n">
        <v>65</v>
      </c>
      <c r="B217" s="6" t="n">
        <v>59</v>
      </c>
      <c r="C217" s="6" t="n">
        <v>1</v>
      </c>
      <c r="D217" s="7"/>
      <c r="E217" s="9" t="str">
        <f aca="false">IFERROR(INDEX(exercicio!$B$2:$B$190,MATCH(A217,exercicio!$A$2:$A$190,0)),"")</f>
        <v>Rolamento com Roda Abdominal</v>
      </c>
      <c r="F217" s="9" t="str">
        <f aca="false">IFERROR(INDEX(exercicio!$B$2:$B$190,MATCH(B217,exercicio!$A$2:$A$190,0)),"")</f>
        <v>Prancha</v>
      </c>
      <c r="G217" s="8" t="b">
        <f aca="false">COUNTIF(exercicio_equipamento!$A$2:$A$400,B217)=0</f>
        <v>1</v>
      </c>
    </row>
    <row r="218" customFormat="false" ht="15" hidden="false" customHeight="false" outlineLevel="0" collapsed="false">
      <c r="A218" s="6" t="n">
        <v>65</v>
      </c>
      <c r="B218" s="6" t="n">
        <v>60</v>
      </c>
      <c r="C218" s="6" t="n">
        <v>2</v>
      </c>
      <c r="D218" s="7"/>
      <c r="E218" s="9" t="str">
        <f aca="false">IFERROR(INDEX(exercicio!$B$2:$B$190,MATCH(A218,exercicio!$A$2:$A$190,0)),"")</f>
        <v>Rolamento com Roda Abdominal</v>
      </c>
      <c r="F218" s="9" t="str">
        <f aca="false">IFERROR(INDEX(exercicio!$B$2:$B$190,MATCH(B218,exercicio!$A$2:$A$190,0)),"")</f>
        <v>Abdominal Supra</v>
      </c>
      <c r="G218" s="8" t="b">
        <f aca="false">COUNTIF(exercicio_equipamento!$A$2:$A$400,B218)=0</f>
        <v>1</v>
      </c>
    </row>
    <row r="219" customFormat="false" ht="15" hidden="false" customHeight="false" outlineLevel="0" collapsed="false">
      <c r="A219" s="6" t="n">
        <v>65</v>
      </c>
      <c r="B219" s="6" t="n">
        <v>63</v>
      </c>
      <c r="C219" s="6" t="n">
        <v>3</v>
      </c>
      <c r="D219" s="7"/>
      <c r="E219" s="9" t="str">
        <f aca="false">IFERROR(INDEX(exercicio!$B$2:$B$190,MATCH(A219,exercicio!$A$2:$A$190,0)),"")</f>
        <v>Rolamento com Roda Abdominal</v>
      </c>
      <c r="F219" s="9" t="str">
        <f aca="false">IFERROR(INDEX(exercicio!$B$2:$B$190,MATCH(B219,exercicio!$A$2:$A$190,0)),"")</f>
        <v>Abdominal na Polia Alta</v>
      </c>
      <c r="G219" s="8" t="b">
        <f aca="false">COUNTIF(exercicio_equipamento!$A$2:$A$400,B219)=0</f>
        <v>0</v>
      </c>
    </row>
    <row r="220" customFormat="false" ht="15" hidden="false" customHeight="false" outlineLevel="0" collapsed="false">
      <c r="A220" s="6" t="n">
        <v>66</v>
      </c>
      <c r="B220" s="6" t="n">
        <v>61</v>
      </c>
      <c r="C220" s="6" t="n">
        <v>1</v>
      </c>
      <c r="D220" s="7"/>
      <c r="E220" s="9" t="str">
        <f aca="false">IFERROR(INDEX(exercicio!$B$2:$B$190,MATCH(A220,exercicio!$A$2:$A$190,0)),"")</f>
        <v>Elevação de Pernas na Cadeira Capitão</v>
      </c>
      <c r="F220" s="9" t="str">
        <f aca="false">IFERROR(INDEX(exercicio!$B$2:$B$190,MATCH(B220,exercicio!$A$2:$A$190,0)),"")</f>
        <v>Elevação de Pernas</v>
      </c>
      <c r="G220" s="8" t="b">
        <f aca="false">COUNTIF(exercicio_equipamento!$A$2:$A$400,B220)=0</f>
        <v>1</v>
      </c>
    </row>
    <row r="221" customFormat="false" ht="15" hidden="false" customHeight="false" outlineLevel="0" collapsed="false">
      <c r="A221" s="6" t="n">
        <v>66</v>
      </c>
      <c r="B221" s="6" t="n">
        <v>59</v>
      </c>
      <c r="C221" s="6" t="n">
        <v>2</v>
      </c>
      <c r="D221" s="7"/>
      <c r="E221" s="9" t="str">
        <f aca="false">IFERROR(INDEX(exercicio!$B$2:$B$190,MATCH(A221,exercicio!$A$2:$A$190,0)),"")</f>
        <v>Elevação de Pernas na Cadeira Capitão</v>
      </c>
      <c r="F221" s="9" t="str">
        <f aca="false">IFERROR(INDEX(exercicio!$B$2:$B$190,MATCH(B221,exercicio!$A$2:$A$190,0)),"")</f>
        <v>Prancha</v>
      </c>
      <c r="G221" s="8" t="b">
        <f aca="false">COUNTIF(exercicio_equipamento!$A$2:$A$400,B221)=0</f>
        <v>1</v>
      </c>
    </row>
    <row r="222" customFormat="false" ht="15" hidden="false" customHeight="false" outlineLevel="0" collapsed="false">
      <c r="A222" s="6" t="n">
        <v>66</v>
      </c>
      <c r="B222" s="6" t="n">
        <v>65</v>
      </c>
      <c r="C222" s="6" t="n">
        <v>3</v>
      </c>
      <c r="D222" s="7"/>
      <c r="E222" s="9" t="str">
        <f aca="false">IFERROR(INDEX(exercicio!$B$2:$B$190,MATCH(A222,exercicio!$A$2:$A$190,0)),"")</f>
        <v>Elevação de Pernas na Cadeira Capitão</v>
      </c>
      <c r="F222" s="9" t="str">
        <f aca="false">IFERROR(INDEX(exercicio!$B$2:$B$190,MATCH(B222,exercicio!$A$2:$A$190,0)),"")</f>
        <v>Rolamento com Roda Abdominal</v>
      </c>
      <c r="G222" s="8" t="b">
        <f aca="false">COUNTIF(exercicio_equipamento!$A$2:$A$400,B222)=0</f>
        <v>0</v>
      </c>
    </row>
    <row r="223" customFormat="false" ht="15" hidden="false" customHeight="false" outlineLevel="0" collapsed="false">
      <c r="A223" s="6" t="n">
        <v>67</v>
      </c>
      <c r="B223" s="6" t="n">
        <v>4</v>
      </c>
      <c r="C223" s="6" t="n">
        <v>1</v>
      </c>
      <c r="D223" s="7"/>
      <c r="E223" s="9" t="str">
        <f aca="false">IFERROR(INDEX(exercicio!$B$2:$B$190,MATCH(A223,exercicio!$A$2:$A$190,0)),"")</f>
        <v>Supino Reto com Halteres</v>
      </c>
      <c r="F223" s="9" t="str">
        <f aca="false">IFERROR(INDEX(exercicio!$B$2:$B$190,MATCH(B223,exercicio!$A$2:$A$190,0)),"")</f>
        <v>Flexão de Braço</v>
      </c>
      <c r="G223" s="8" t="b">
        <f aca="false">COUNTIF(exercicio_equipamento!$A$2:$A$400,B223)=0</f>
        <v>1</v>
      </c>
    </row>
    <row r="224" customFormat="false" ht="15" hidden="false" customHeight="false" outlineLevel="0" collapsed="false">
      <c r="A224" s="6" t="n">
        <v>67</v>
      </c>
      <c r="B224" s="6" t="n">
        <v>1</v>
      </c>
      <c r="C224" s="6" t="n">
        <v>2</v>
      </c>
      <c r="D224" s="7"/>
      <c r="E224" s="9" t="str">
        <f aca="false">IFERROR(INDEX(exercicio!$B$2:$B$190,MATCH(A224,exercicio!$A$2:$A$190,0)),"")</f>
        <v>Supino Reto com Halteres</v>
      </c>
      <c r="F224" s="9" t="str">
        <f aca="false">IFERROR(INDEX(exercicio!$B$2:$B$190,MATCH(B224,exercicio!$A$2:$A$190,0)),"")</f>
        <v>Supino Reto com Barra</v>
      </c>
      <c r="G224" s="8" t="b">
        <f aca="false">COUNTIF(exercicio_equipamento!$A$2:$A$400,B224)=0</f>
        <v>0</v>
      </c>
    </row>
    <row r="225" customFormat="false" ht="15" hidden="false" customHeight="false" outlineLevel="0" collapsed="false">
      <c r="A225" s="6" t="n">
        <v>67</v>
      </c>
      <c r="B225" s="6" t="n">
        <v>69</v>
      </c>
      <c r="C225" s="6" t="n">
        <v>3</v>
      </c>
      <c r="D225" s="7"/>
      <c r="E225" s="9" t="str">
        <f aca="false">IFERROR(INDEX(exercicio!$B$2:$B$190,MATCH(A225,exercicio!$A$2:$A$190,0)),"")</f>
        <v>Supino Reto com Halteres</v>
      </c>
      <c r="F225" s="9" t="str">
        <f aca="false">IFERROR(INDEX(exercicio!$B$2:$B$190,MATCH(B225,exercicio!$A$2:$A$190,0)),"")</f>
        <v>Supino na Máquina</v>
      </c>
      <c r="G225" s="8" t="b">
        <f aca="false">COUNTIF(exercicio_equipamento!$A$2:$A$400,B225)=0</f>
        <v>0</v>
      </c>
    </row>
    <row r="226" customFormat="false" ht="15" hidden="false" customHeight="false" outlineLevel="0" collapsed="false">
      <c r="A226" s="6" t="n">
        <v>67</v>
      </c>
      <c r="B226" s="6" t="n">
        <v>71</v>
      </c>
      <c r="C226" s="6" t="n">
        <v>4</v>
      </c>
      <c r="D226" s="7"/>
      <c r="E226" s="9" t="str">
        <f aca="false">IFERROR(INDEX(exercicio!$B$2:$B$190,MATCH(A226,exercicio!$A$2:$A$190,0)),"")</f>
        <v>Supino Reto com Halteres</v>
      </c>
      <c r="F226" s="9" t="str">
        <f aca="false">IFERROR(INDEX(exercicio!$B$2:$B$190,MATCH(B226,exercicio!$A$2:$A$190,0)),"")</f>
        <v>Crucifixo Reto com Halteres</v>
      </c>
      <c r="G226" s="8" t="b">
        <f aca="false">COUNTIF(exercicio_equipamento!$A$2:$A$400,B226)=0</f>
        <v>0</v>
      </c>
    </row>
    <row r="227" customFormat="false" ht="15" hidden="false" customHeight="false" outlineLevel="0" collapsed="false">
      <c r="A227" s="6" t="n">
        <v>68</v>
      </c>
      <c r="B227" s="6" t="n">
        <v>6</v>
      </c>
      <c r="C227" s="6" t="n">
        <v>1</v>
      </c>
      <c r="D227" s="7"/>
      <c r="E227" s="9" t="str">
        <f aca="false">IFERROR(INDEX(exercicio!$B$2:$B$190,MATCH(A227,exercicio!$A$2:$A$190,0)),"")</f>
        <v>Supino Inclinado com Barra</v>
      </c>
      <c r="F227" s="9" t="str">
        <f aca="false">IFERROR(INDEX(exercicio!$B$2:$B$190,MATCH(B227,exercicio!$A$2:$A$190,0)),"")</f>
        <v>Flexão com Pés Elevados</v>
      </c>
      <c r="G227" s="8" t="b">
        <f aca="false">COUNTIF(exercicio_equipamento!$A$2:$A$400,B227)=0</f>
        <v>1</v>
      </c>
    </row>
    <row r="228" customFormat="false" ht="15" hidden="false" customHeight="false" outlineLevel="0" collapsed="false">
      <c r="A228" s="6" t="n">
        <v>68</v>
      </c>
      <c r="B228" s="6" t="n">
        <v>2</v>
      </c>
      <c r="C228" s="6" t="n">
        <v>2</v>
      </c>
      <c r="D228" s="7"/>
      <c r="E228" s="9" t="str">
        <f aca="false">IFERROR(INDEX(exercicio!$B$2:$B$190,MATCH(A228,exercicio!$A$2:$A$190,0)),"")</f>
        <v>Supino Inclinado com Barra</v>
      </c>
      <c r="F228" s="9" t="str">
        <f aca="false">IFERROR(INDEX(exercicio!$B$2:$B$190,MATCH(B228,exercicio!$A$2:$A$190,0)),"")</f>
        <v>Supino Inclinado com Halteres</v>
      </c>
      <c r="G228" s="8" t="b">
        <f aca="false">COUNTIF(exercicio_equipamento!$A$2:$A$400,B228)=0</f>
        <v>0</v>
      </c>
    </row>
    <row r="229" customFormat="false" ht="15" hidden="false" customHeight="false" outlineLevel="0" collapsed="false">
      <c r="A229" s="6" t="n">
        <v>68</v>
      </c>
      <c r="B229" s="6" t="n">
        <v>70</v>
      </c>
      <c r="C229" s="6" t="n">
        <v>3</v>
      </c>
      <c r="D229" s="7"/>
      <c r="E229" s="9" t="str">
        <f aca="false">IFERROR(INDEX(exercicio!$B$2:$B$190,MATCH(A229,exercicio!$A$2:$A$190,0)),"")</f>
        <v>Supino Inclinado com Barra</v>
      </c>
      <c r="F229" s="9" t="str">
        <f aca="false">IFERROR(INDEX(exercicio!$B$2:$B$190,MATCH(B229,exercicio!$A$2:$A$190,0)),"")</f>
        <v>Supino Inclinado na Máquina</v>
      </c>
      <c r="G229" s="8" t="b">
        <f aca="false">COUNTIF(exercicio_equipamento!$A$2:$A$400,B229)=0</f>
        <v>0</v>
      </c>
    </row>
    <row r="230" customFormat="false" ht="15" hidden="false" customHeight="false" outlineLevel="0" collapsed="false">
      <c r="A230" s="6" t="n">
        <v>69</v>
      </c>
      <c r="B230" s="6" t="n">
        <v>4</v>
      </c>
      <c r="C230" s="6" t="n">
        <v>1</v>
      </c>
      <c r="D230" s="7"/>
      <c r="E230" s="9" t="str">
        <f aca="false">IFERROR(INDEX(exercicio!$B$2:$B$190,MATCH(A230,exercicio!$A$2:$A$190,0)),"")</f>
        <v>Supino na Máquina</v>
      </c>
      <c r="F230" s="9" t="str">
        <f aca="false">IFERROR(INDEX(exercicio!$B$2:$B$190,MATCH(B230,exercicio!$A$2:$A$190,0)),"")</f>
        <v>Flexão de Braço</v>
      </c>
      <c r="G230" s="8" t="b">
        <f aca="false">COUNTIF(exercicio_equipamento!$A$2:$A$400,B230)=0</f>
        <v>1</v>
      </c>
    </row>
    <row r="231" customFormat="false" ht="15" hidden="false" customHeight="false" outlineLevel="0" collapsed="false">
      <c r="A231" s="6" t="n">
        <v>69</v>
      </c>
      <c r="B231" s="6" t="n">
        <v>67</v>
      </c>
      <c r="C231" s="6" t="n">
        <v>2</v>
      </c>
      <c r="D231" s="7"/>
      <c r="E231" s="9" t="str">
        <f aca="false">IFERROR(INDEX(exercicio!$B$2:$B$190,MATCH(A231,exercicio!$A$2:$A$190,0)),"")</f>
        <v>Supino na Máquina</v>
      </c>
      <c r="F231" s="9" t="str">
        <f aca="false">IFERROR(INDEX(exercicio!$B$2:$B$190,MATCH(B231,exercicio!$A$2:$A$190,0)),"")</f>
        <v>Supino Reto com Halteres</v>
      </c>
      <c r="G231" s="8" t="b">
        <f aca="false">COUNTIF(exercicio_equipamento!$A$2:$A$400,B231)=0</f>
        <v>0</v>
      </c>
    </row>
    <row r="232" customFormat="false" ht="15" hidden="false" customHeight="false" outlineLevel="0" collapsed="false">
      <c r="A232" s="6" t="n">
        <v>69</v>
      </c>
      <c r="B232" s="6" t="n">
        <v>1</v>
      </c>
      <c r="C232" s="6" t="n">
        <v>3</v>
      </c>
      <c r="D232" s="7"/>
      <c r="E232" s="9" t="str">
        <f aca="false">IFERROR(INDEX(exercicio!$B$2:$B$190,MATCH(A232,exercicio!$A$2:$A$190,0)),"")</f>
        <v>Supino na Máquina</v>
      </c>
      <c r="F232" s="9" t="str">
        <f aca="false">IFERROR(INDEX(exercicio!$B$2:$B$190,MATCH(B232,exercicio!$A$2:$A$190,0)),"")</f>
        <v>Supino Reto com Barra</v>
      </c>
      <c r="G232" s="8" t="b">
        <f aca="false">COUNTIF(exercicio_equipamento!$A$2:$A$400,B232)=0</f>
        <v>0</v>
      </c>
    </row>
    <row r="233" customFormat="false" ht="15" hidden="false" customHeight="false" outlineLevel="0" collapsed="false">
      <c r="A233" s="6" t="n">
        <v>70</v>
      </c>
      <c r="B233" s="6" t="n">
        <v>6</v>
      </c>
      <c r="C233" s="6" t="n">
        <v>1</v>
      </c>
      <c r="D233" s="7"/>
      <c r="E233" s="9" t="str">
        <f aca="false">IFERROR(INDEX(exercicio!$B$2:$B$190,MATCH(A233,exercicio!$A$2:$A$190,0)),"")</f>
        <v>Supino Inclinado na Máquina</v>
      </c>
      <c r="F233" s="9" t="str">
        <f aca="false">IFERROR(INDEX(exercicio!$B$2:$B$190,MATCH(B233,exercicio!$A$2:$A$190,0)),"")</f>
        <v>Flexão com Pés Elevados</v>
      </c>
      <c r="G233" s="8" t="b">
        <f aca="false">COUNTIF(exercicio_equipamento!$A$2:$A$400,B233)=0</f>
        <v>1</v>
      </c>
    </row>
    <row r="234" customFormat="false" ht="15" hidden="false" customHeight="false" outlineLevel="0" collapsed="false">
      <c r="A234" s="6" t="n">
        <v>70</v>
      </c>
      <c r="B234" s="6" t="n">
        <v>2</v>
      </c>
      <c r="C234" s="6" t="n">
        <v>2</v>
      </c>
      <c r="D234" s="7"/>
      <c r="E234" s="9" t="str">
        <f aca="false">IFERROR(INDEX(exercicio!$B$2:$B$190,MATCH(A234,exercicio!$A$2:$A$190,0)),"")</f>
        <v>Supino Inclinado na Máquina</v>
      </c>
      <c r="F234" s="9" t="str">
        <f aca="false">IFERROR(INDEX(exercicio!$B$2:$B$190,MATCH(B234,exercicio!$A$2:$A$190,0)),"")</f>
        <v>Supino Inclinado com Halteres</v>
      </c>
      <c r="G234" s="8" t="b">
        <f aca="false">COUNTIF(exercicio_equipamento!$A$2:$A$400,B234)=0</f>
        <v>0</v>
      </c>
    </row>
    <row r="235" customFormat="false" ht="15" hidden="false" customHeight="false" outlineLevel="0" collapsed="false">
      <c r="A235" s="6" t="n">
        <v>70</v>
      </c>
      <c r="B235" s="6" t="n">
        <v>68</v>
      </c>
      <c r="C235" s="6" t="n">
        <v>3</v>
      </c>
      <c r="D235" s="7"/>
      <c r="E235" s="9" t="str">
        <f aca="false">IFERROR(INDEX(exercicio!$B$2:$B$190,MATCH(A235,exercicio!$A$2:$A$190,0)),"")</f>
        <v>Supino Inclinado na Máquina</v>
      </c>
      <c r="F235" s="9" t="str">
        <f aca="false">IFERROR(INDEX(exercicio!$B$2:$B$190,MATCH(B235,exercicio!$A$2:$A$190,0)),"")</f>
        <v>Supino Inclinado com Barra</v>
      </c>
      <c r="G235" s="8" t="b">
        <f aca="false">COUNTIF(exercicio_equipamento!$A$2:$A$400,B235)=0</f>
        <v>0</v>
      </c>
    </row>
    <row r="236" customFormat="false" ht="15" hidden="false" customHeight="false" outlineLevel="0" collapsed="false">
      <c r="A236" s="6" t="n">
        <v>71</v>
      </c>
      <c r="B236" s="6" t="n">
        <v>5</v>
      </c>
      <c r="C236" s="6" t="n">
        <v>1</v>
      </c>
      <c r="D236" s="7"/>
      <c r="E236" s="9" t="str">
        <f aca="false">IFERROR(INDEX(exercicio!$B$2:$B$190,MATCH(A236,exercicio!$A$2:$A$190,0)),"")</f>
        <v>Crucifixo Reto com Halteres</v>
      </c>
      <c r="F236" s="9" t="str">
        <f aca="false">IFERROR(INDEX(exercicio!$B$2:$B$190,MATCH(B236,exercicio!$A$2:$A$190,0)),"")</f>
        <v>Flexão com Apoio Afastado</v>
      </c>
      <c r="G236" s="8" t="b">
        <f aca="false">COUNTIF(exercicio_equipamento!$A$2:$A$400,B236)=0</f>
        <v>1</v>
      </c>
    </row>
    <row r="237" customFormat="false" ht="15" hidden="false" customHeight="false" outlineLevel="0" collapsed="false">
      <c r="A237" s="6" t="n">
        <v>71</v>
      </c>
      <c r="B237" s="6" t="n">
        <v>3</v>
      </c>
      <c r="C237" s="6" t="n">
        <v>2</v>
      </c>
      <c r="D237" s="7"/>
      <c r="E237" s="9" t="str">
        <f aca="false">IFERROR(INDEX(exercicio!$B$2:$B$190,MATCH(A237,exercicio!$A$2:$A$190,0)),"")</f>
        <v>Crucifixo Reto com Halteres</v>
      </c>
      <c r="F237" s="9" t="str">
        <f aca="false">IFERROR(INDEX(exercicio!$B$2:$B$190,MATCH(B237,exercicio!$A$2:$A$190,0)),"")</f>
        <v>Voador Peitoral</v>
      </c>
      <c r="G237" s="8" t="b">
        <f aca="false">COUNTIF(exercicio_equipamento!$A$2:$A$400,B237)=0</f>
        <v>0</v>
      </c>
    </row>
    <row r="238" customFormat="false" ht="15" hidden="false" customHeight="false" outlineLevel="0" collapsed="false">
      <c r="A238" s="6" t="n">
        <v>71</v>
      </c>
      <c r="B238" s="6" t="n">
        <v>72</v>
      </c>
      <c r="C238" s="6" t="n">
        <v>3</v>
      </c>
      <c r="D238" s="7"/>
      <c r="E238" s="9" t="str">
        <f aca="false">IFERROR(INDEX(exercicio!$B$2:$B$190,MATCH(A238,exercicio!$A$2:$A$190,0)),"")</f>
        <v>Crucifixo Reto com Halteres</v>
      </c>
      <c r="F238" s="9" t="str">
        <f aca="false">IFERROR(INDEX(exercicio!$B$2:$B$190,MATCH(B238,exercicio!$A$2:$A$190,0)),"")</f>
        <v>Crossover na Polia</v>
      </c>
      <c r="G238" s="8" t="b">
        <f aca="false">COUNTIF(exercicio_equipamento!$A$2:$A$400,B238)=0</f>
        <v>0</v>
      </c>
    </row>
    <row r="239" customFormat="false" ht="15" hidden="false" customHeight="false" outlineLevel="0" collapsed="false">
      <c r="A239" s="6" t="n">
        <v>72</v>
      </c>
      <c r="B239" s="6" t="n">
        <v>5</v>
      </c>
      <c r="C239" s="6" t="n">
        <v>1</v>
      </c>
      <c r="D239" s="7"/>
      <c r="E239" s="9" t="str">
        <f aca="false">IFERROR(INDEX(exercicio!$B$2:$B$190,MATCH(A239,exercicio!$A$2:$A$190,0)),"")</f>
        <v>Crossover na Polia</v>
      </c>
      <c r="F239" s="9" t="str">
        <f aca="false">IFERROR(INDEX(exercicio!$B$2:$B$190,MATCH(B239,exercicio!$A$2:$A$190,0)),"")</f>
        <v>Flexão com Apoio Afastado</v>
      </c>
      <c r="G239" s="8" t="b">
        <f aca="false">COUNTIF(exercicio_equipamento!$A$2:$A$400,B239)=0</f>
        <v>1</v>
      </c>
    </row>
    <row r="240" customFormat="false" ht="15" hidden="false" customHeight="false" outlineLevel="0" collapsed="false">
      <c r="A240" s="6" t="n">
        <v>72</v>
      </c>
      <c r="B240" s="6" t="n">
        <v>3</v>
      </c>
      <c r="C240" s="6" t="n">
        <v>2</v>
      </c>
      <c r="D240" s="7"/>
      <c r="E240" s="9" t="str">
        <f aca="false">IFERROR(INDEX(exercicio!$B$2:$B$190,MATCH(A240,exercicio!$A$2:$A$190,0)),"")</f>
        <v>Crossover na Polia</v>
      </c>
      <c r="F240" s="9" t="str">
        <f aca="false">IFERROR(INDEX(exercicio!$B$2:$B$190,MATCH(B240,exercicio!$A$2:$A$190,0)),"")</f>
        <v>Voador Peitoral</v>
      </c>
      <c r="G240" s="8" t="b">
        <f aca="false">COUNTIF(exercicio_equipamento!$A$2:$A$400,B240)=0</f>
        <v>0</v>
      </c>
    </row>
    <row r="241" customFormat="false" ht="15" hidden="false" customHeight="false" outlineLevel="0" collapsed="false">
      <c r="A241" s="6" t="n">
        <v>72</v>
      </c>
      <c r="B241" s="6" t="n">
        <v>71</v>
      </c>
      <c r="C241" s="6" t="n">
        <v>3</v>
      </c>
      <c r="D241" s="7"/>
      <c r="E241" s="9" t="str">
        <f aca="false">IFERROR(INDEX(exercicio!$B$2:$B$190,MATCH(A241,exercicio!$A$2:$A$190,0)),"")</f>
        <v>Crossover na Polia</v>
      </c>
      <c r="F241" s="9" t="str">
        <f aca="false">IFERROR(INDEX(exercicio!$B$2:$B$190,MATCH(B241,exercicio!$A$2:$A$190,0)),"")</f>
        <v>Crucifixo Reto com Halteres</v>
      </c>
      <c r="G241" s="8" t="b">
        <f aca="false">COUNTIF(exercicio_equipamento!$A$2:$A$400,B241)=0</f>
        <v>0</v>
      </c>
    </row>
    <row r="242" customFormat="false" ht="23.85" hidden="false" customHeight="false" outlineLevel="0" collapsed="false">
      <c r="A242" s="6" t="n">
        <v>73</v>
      </c>
      <c r="B242" s="6" t="n">
        <v>15</v>
      </c>
      <c r="C242" s="6" t="n">
        <v>1</v>
      </c>
      <c r="D242" s="7" t="s">
        <v>428</v>
      </c>
      <c r="E242" s="9" t="str">
        <f aca="false">IFERROR(INDEX(exercicio!$B$2:$B$190,MATCH(A242,exercicio!$A$2:$A$190,0)),"")</f>
        <v>Elevação Lateral com Halteres</v>
      </c>
      <c r="F242" s="9" t="str">
        <f aca="false">IFERROR(INDEX(exercicio!$B$2:$B$190,MATCH(B242,exercicio!$A$2:$A$190,0)),"")</f>
        <v>Elevação Prona em T</v>
      </c>
      <c r="G242" s="8" t="b">
        <f aca="false">COUNTIF(exercicio_equipamento!$A$2:$A$400,B242)=0</f>
        <v>1</v>
      </c>
    </row>
    <row r="243" customFormat="false" ht="15" hidden="false" customHeight="false" outlineLevel="0" collapsed="false">
      <c r="A243" s="6" t="n">
        <v>73</v>
      </c>
      <c r="B243" s="6" t="n">
        <v>12</v>
      </c>
      <c r="C243" s="6" t="n">
        <v>2</v>
      </c>
      <c r="D243" s="7"/>
      <c r="E243" s="9" t="str">
        <f aca="false">IFERROR(INDEX(exercicio!$B$2:$B$190,MATCH(A243,exercicio!$A$2:$A$190,0)),"")</f>
        <v>Elevação Lateral com Halteres</v>
      </c>
      <c r="F243" s="9" t="str">
        <f aca="false">IFERROR(INDEX(exercicio!$B$2:$B$190,MATCH(B243,exercicio!$A$2:$A$190,0)),"")</f>
        <v>Elevação Lateral no Cabo</v>
      </c>
      <c r="G243" s="8" t="b">
        <f aca="false">COUNTIF(exercicio_equipamento!$A$2:$A$400,B243)=0</f>
        <v>0</v>
      </c>
    </row>
    <row r="244" customFormat="false" ht="15" hidden="false" customHeight="false" outlineLevel="0" collapsed="false">
      <c r="A244" s="6" t="n">
        <v>73</v>
      </c>
      <c r="B244" s="6" t="n">
        <v>13</v>
      </c>
      <c r="C244" s="6" t="n">
        <v>3</v>
      </c>
      <c r="D244" s="7"/>
      <c r="E244" s="9" t="str">
        <f aca="false">IFERROR(INDEX(exercicio!$B$2:$B$190,MATCH(A244,exercicio!$A$2:$A$190,0)),"")</f>
        <v>Elevação Lateral com Halteres</v>
      </c>
      <c r="F244" s="9" t="str">
        <f aca="false">IFERROR(INDEX(exercicio!$B$2:$B$190,MATCH(B244,exercicio!$A$2:$A$190,0)),"")</f>
        <v>Elevação Lateral na Máquina</v>
      </c>
      <c r="G244" s="8" t="b">
        <f aca="false">COUNTIF(exercicio_equipamento!$A$2:$A$400,B244)=0</f>
        <v>0</v>
      </c>
    </row>
    <row r="245" customFormat="false" ht="15" hidden="false" customHeight="false" outlineLevel="0" collapsed="false">
      <c r="A245" s="6" t="n">
        <v>74</v>
      </c>
      <c r="B245" s="6" t="n">
        <v>9</v>
      </c>
      <c r="C245" s="6" t="n">
        <v>1</v>
      </c>
      <c r="D245" s="7"/>
      <c r="E245" s="9" t="str">
        <f aca="false">IFERROR(INDEX(exercicio!$B$2:$B$190,MATCH(A245,exercicio!$A$2:$A$190,0)),"")</f>
        <v>Desenvolvimento na Máquina</v>
      </c>
      <c r="F245" s="9" t="str">
        <f aca="false">IFERROR(INDEX(exercicio!$B$2:$B$190,MATCH(B245,exercicio!$A$2:$A$190,0)),"")</f>
        <v>Flexão em Pique</v>
      </c>
      <c r="G245" s="8" t="b">
        <f aca="false">COUNTIF(exercicio_equipamento!$A$2:$A$400,B245)=0</f>
        <v>1</v>
      </c>
    </row>
    <row r="246" customFormat="false" ht="15" hidden="false" customHeight="false" outlineLevel="0" collapsed="false">
      <c r="A246" s="6" t="n">
        <v>74</v>
      </c>
      <c r="B246" s="6" t="n">
        <v>11</v>
      </c>
      <c r="C246" s="6" t="n">
        <v>2</v>
      </c>
      <c r="D246" s="7"/>
      <c r="E246" s="9" t="str">
        <f aca="false">IFERROR(INDEX(exercicio!$B$2:$B$190,MATCH(A246,exercicio!$A$2:$A$190,0)),"")</f>
        <v>Desenvolvimento na Máquina</v>
      </c>
      <c r="F246" s="9" t="str">
        <f aca="false">IFERROR(INDEX(exercicio!$B$2:$B$190,MATCH(B246,exercicio!$A$2:$A$190,0)),"")</f>
        <v>Desenvolvimento com Halteres</v>
      </c>
      <c r="G246" s="8" t="b">
        <f aca="false">COUNTIF(exercicio_equipamento!$A$2:$A$400,B246)=0</f>
        <v>0</v>
      </c>
    </row>
    <row r="247" customFormat="false" ht="15" hidden="false" customHeight="false" outlineLevel="0" collapsed="false">
      <c r="A247" s="6" t="n">
        <v>74</v>
      </c>
      <c r="B247" s="6" t="n">
        <v>70</v>
      </c>
      <c r="C247" s="6" t="n">
        <v>3</v>
      </c>
      <c r="D247" s="7"/>
      <c r="E247" s="9" t="str">
        <f aca="false">IFERROR(INDEX(exercicio!$B$2:$B$190,MATCH(A247,exercicio!$A$2:$A$190,0)),"")</f>
        <v>Desenvolvimento na Máquina</v>
      </c>
      <c r="F247" s="9" t="str">
        <f aca="false">IFERROR(INDEX(exercicio!$B$2:$B$190,MATCH(B247,exercicio!$A$2:$A$190,0)),"")</f>
        <v>Supino Inclinado na Máquina</v>
      </c>
      <c r="G247" s="8" t="b">
        <f aca="false">COUNTIF(exercicio_equipamento!$A$2:$A$400,B247)=0</f>
        <v>0</v>
      </c>
    </row>
    <row r="248" customFormat="false" ht="15" hidden="false" customHeight="false" outlineLevel="0" collapsed="false">
      <c r="A248" s="6" t="n">
        <v>75</v>
      </c>
      <c r="B248" s="6" t="n">
        <v>9</v>
      </c>
      <c r="C248" s="6" t="n">
        <v>1</v>
      </c>
      <c r="D248" s="7"/>
      <c r="E248" s="9" t="str">
        <f aca="false">IFERROR(INDEX(exercicio!$B$2:$B$190,MATCH(A248,exercicio!$A$2:$A$190,0)),"")</f>
        <v>Elevação Frontal na Polia</v>
      </c>
      <c r="F248" s="9" t="str">
        <f aca="false">IFERROR(INDEX(exercicio!$B$2:$B$190,MATCH(B248,exercicio!$A$2:$A$190,0)),"")</f>
        <v>Flexão em Pique</v>
      </c>
      <c r="G248" s="8" t="b">
        <f aca="false">COUNTIF(exercicio_equipamento!$A$2:$A$400,B248)=0</f>
        <v>1</v>
      </c>
    </row>
    <row r="249" customFormat="false" ht="15" hidden="false" customHeight="false" outlineLevel="0" collapsed="false">
      <c r="A249" s="6" t="n">
        <v>75</v>
      </c>
      <c r="B249" s="6" t="n">
        <v>11</v>
      </c>
      <c r="C249" s="6" t="n">
        <v>2</v>
      </c>
      <c r="D249" s="7"/>
      <c r="E249" s="9" t="str">
        <f aca="false">IFERROR(INDEX(exercicio!$B$2:$B$190,MATCH(A249,exercicio!$A$2:$A$190,0)),"")</f>
        <v>Elevação Frontal na Polia</v>
      </c>
      <c r="F249" s="9" t="str">
        <f aca="false">IFERROR(INDEX(exercicio!$B$2:$B$190,MATCH(B249,exercicio!$A$2:$A$190,0)),"")</f>
        <v>Desenvolvimento com Halteres</v>
      </c>
      <c r="G249" s="8" t="b">
        <f aca="false">COUNTIF(exercicio_equipamento!$A$2:$A$400,B249)=0</f>
        <v>0</v>
      </c>
    </row>
    <row r="250" customFormat="false" ht="15" hidden="false" customHeight="false" outlineLevel="0" collapsed="false">
      <c r="A250" s="6" t="n">
        <v>75</v>
      </c>
      <c r="B250" s="6" t="n">
        <v>74</v>
      </c>
      <c r="C250" s="6" t="n">
        <v>3</v>
      </c>
      <c r="D250" s="7"/>
      <c r="E250" s="9" t="str">
        <f aca="false">IFERROR(INDEX(exercicio!$B$2:$B$190,MATCH(A250,exercicio!$A$2:$A$190,0)),"")</f>
        <v>Elevação Frontal na Polia</v>
      </c>
      <c r="F250" s="9" t="str">
        <f aca="false">IFERROR(INDEX(exercicio!$B$2:$B$190,MATCH(B250,exercicio!$A$2:$A$190,0)),"")</f>
        <v>Desenvolvimento na Máquina</v>
      </c>
      <c r="G250" s="8" t="b">
        <f aca="false">COUNTIF(exercicio_equipamento!$A$2:$A$400,B250)=0</f>
        <v>0</v>
      </c>
    </row>
    <row r="251" customFormat="false" ht="15" hidden="false" customHeight="false" outlineLevel="0" collapsed="false">
      <c r="A251" s="6" t="n">
        <v>76</v>
      </c>
      <c r="B251" s="6" t="n">
        <v>17</v>
      </c>
      <c r="C251" s="6" t="n">
        <v>1</v>
      </c>
      <c r="D251" s="7"/>
      <c r="E251" s="9" t="str">
        <f aca="false">IFERROR(INDEX(exercicio!$B$2:$B$190,MATCH(A251,exercicio!$A$2:$A$190,0)),"")</f>
        <v>Puxada Alta com Triângulo</v>
      </c>
      <c r="F251" s="9" t="str">
        <f aca="false">IFERROR(INDEX(exercicio!$B$2:$B$190,MATCH(B251,exercicio!$A$2:$A$190,0)),"")</f>
        <v>Puxada Alta</v>
      </c>
      <c r="G251" s="8" t="b">
        <f aca="false">COUNTIF(exercicio_equipamento!$A$2:$A$400,B251)=0</f>
        <v>0</v>
      </c>
    </row>
    <row r="252" customFormat="false" ht="15" hidden="false" customHeight="false" outlineLevel="0" collapsed="false">
      <c r="A252" s="6" t="n">
        <v>76</v>
      </c>
      <c r="B252" s="6" t="n">
        <v>22</v>
      </c>
      <c r="C252" s="6" t="n">
        <v>2</v>
      </c>
      <c r="D252" s="7"/>
      <c r="E252" s="9" t="str">
        <f aca="false">IFERROR(INDEX(exercicio!$B$2:$B$190,MATCH(A252,exercicio!$A$2:$A$190,0)),"")</f>
        <v>Puxada Alta com Triângulo</v>
      </c>
      <c r="F252" s="9" t="str">
        <f aca="false">IFERROR(INDEX(exercicio!$B$2:$B$190,MATCH(B252,exercicio!$A$2:$A$190,0)),"")</f>
        <v>Barra Fixa</v>
      </c>
      <c r="G252" s="8" t="b">
        <f aca="false">COUNTIF(exercicio_equipamento!$A$2:$A$400,B252)=0</f>
        <v>0</v>
      </c>
    </row>
    <row r="253" customFormat="false" ht="15" hidden="false" customHeight="false" outlineLevel="0" collapsed="false">
      <c r="A253" s="6" t="n">
        <v>76</v>
      </c>
      <c r="B253" s="6" t="n">
        <v>25</v>
      </c>
      <c r="C253" s="6" t="n">
        <v>3</v>
      </c>
      <c r="D253" s="7" t="s">
        <v>432</v>
      </c>
      <c r="E253" s="9" t="str">
        <f aca="false">IFERROR(INDEX(exercicio!$B$2:$B$190,MATCH(A253,exercicio!$A$2:$A$190,0)),"")</f>
        <v>Puxada Alta com Triângulo</v>
      </c>
      <c r="F253" s="9" t="str">
        <f aca="false">IFERROR(INDEX(exercicio!$B$2:$B$190,MATCH(B253,exercicio!$A$2:$A$190,0)),"")</f>
        <v>Elevação Prona em Y</v>
      </c>
      <c r="G253" s="8" t="b">
        <f aca="false">COUNTIF(exercicio_equipamento!$A$2:$A$400,B253)=0</f>
        <v>1</v>
      </c>
    </row>
    <row r="254" customFormat="false" ht="15" hidden="false" customHeight="false" outlineLevel="0" collapsed="false">
      <c r="A254" s="6" t="n">
        <v>77</v>
      </c>
      <c r="B254" s="6" t="n">
        <v>18</v>
      </c>
      <c r="C254" s="6" t="n">
        <v>1</v>
      </c>
      <c r="D254" s="7"/>
      <c r="E254" s="9" t="str">
        <f aca="false">IFERROR(INDEX(exercicio!$B$2:$B$190,MATCH(A254,exercicio!$A$2:$A$190,0)),"")</f>
        <v>Remada Cavalinho</v>
      </c>
      <c r="F254" s="9" t="str">
        <f aca="false">IFERROR(INDEX(exercicio!$B$2:$B$190,MATCH(B254,exercicio!$A$2:$A$190,0)),"")</f>
        <v>Remada Baixa</v>
      </c>
      <c r="G254" s="8" t="b">
        <f aca="false">COUNTIF(exercicio_equipamento!$A$2:$A$400,B254)=0</f>
        <v>0</v>
      </c>
    </row>
    <row r="255" customFormat="false" ht="15" hidden="false" customHeight="false" outlineLevel="0" collapsed="false">
      <c r="A255" s="6" t="n">
        <v>77</v>
      </c>
      <c r="B255" s="6" t="n">
        <v>19</v>
      </c>
      <c r="C255" s="6" t="n">
        <v>2</v>
      </c>
      <c r="D255" s="7"/>
      <c r="E255" s="9" t="str">
        <f aca="false">IFERROR(INDEX(exercicio!$B$2:$B$190,MATCH(A255,exercicio!$A$2:$A$190,0)),"")</f>
        <v>Remada Cavalinho</v>
      </c>
      <c r="F255" s="9" t="str">
        <f aca="false">IFERROR(INDEX(exercicio!$B$2:$B$190,MATCH(B255,exercicio!$A$2:$A$190,0)),"")</f>
        <v>Remada Unilateral Articulada</v>
      </c>
      <c r="G255" s="8" t="b">
        <f aca="false">COUNTIF(exercicio_equipamento!$A$2:$A$400,B255)=0</f>
        <v>0</v>
      </c>
    </row>
    <row r="256" customFormat="false" ht="15" hidden="false" customHeight="false" outlineLevel="0" collapsed="false">
      <c r="A256" s="6" t="n">
        <v>77</v>
      </c>
      <c r="B256" s="6" t="n">
        <v>21</v>
      </c>
      <c r="C256" s="6" t="n">
        <v>3</v>
      </c>
      <c r="D256" s="7"/>
      <c r="E256" s="9" t="str">
        <f aca="false">IFERROR(INDEX(exercicio!$B$2:$B$190,MATCH(A256,exercicio!$A$2:$A$190,0)),"")</f>
        <v>Remada Cavalinho</v>
      </c>
      <c r="F256" s="9" t="str">
        <f aca="false">IFERROR(INDEX(exercicio!$B$2:$B$190,MATCH(B256,exercicio!$A$2:$A$190,0)),"")</f>
        <v>Remada Invertida</v>
      </c>
      <c r="G256" s="8" t="b">
        <f aca="false">COUNTIF(exercicio_equipamento!$A$2:$A$400,B256)=0</f>
        <v>0</v>
      </c>
    </row>
    <row r="257" customFormat="false" ht="23.85" hidden="false" customHeight="false" outlineLevel="0" collapsed="false">
      <c r="A257" s="6" t="n">
        <v>77</v>
      </c>
      <c r="B257" s="6" t="n">
        <v>15</v>
      </c>
      <c r="C257" s="6" t="n">
        <v>4</v>
      </c>
      <c r="D257" s="7" t="s">
        <v>430</v>
      </c>
      <c r="E257" s="9" t="str">
        <f aca="false">IFERROR(INDEX(exercicio!$B$2:$B$190,MATCH(A257,exercicio!$A$2:$A$190,0)),"")</f>
        <v>Remada Cavalinho</v>
      </c>
      <c r="F257" s="9" t="str">
        <f aca="false">IFERROR(INDEX(exercicio!$B$2:$B$190,MATCH(B257,exercicio!$A$2:$A$190,0)),"")</f>
        <v>Elevação Prona em T</v>
      </c>
      <c r="G257" s="8" t="b">
        <f aca="false">COUNTIF(exercicio_equipamento!$A$2:$A$400,B257)=0</f>
        <v>1</v>
      </c>
    </row>
    <row r="258" customFormat="false" ht="15" hidden="false" customHeight="false" outlineLevel="0" collapsed="false">
      <c r="A258" s="6" t="n">
        <v>78</v>
      </c>
      <c r="B258" s="6" t="n">
        <v>34</v>
      </c>
      <c r="C258" s="6" t="n">
        <v>1</v>
      </c>
      <c r="D258" s="7" t="s">
        <v>433</v>
      </c>
      <c r="E258" s="9" t="str">
        <f aca="false">IFERROR(INDEX(exercicio!$B$2:$B$190,MATCH(A258,exercicio!$A$2:$A$190,0)),"")</f>
        <v>Rosca Martelo</v>
      </c>
      <c r="F258" s="9" t="str">
        <f aca="false">IFERROR(INDEX(exercicio!$B$2:$B$190,MATCH(B258,exercicio!$A$2:$A$190,0)),"")</f>
        <v>Rosca de Bíceps com Autorresistência</v>
      </c>
      <c r="G258" s="8" t="b">
        <f aca="false">COUNTIF(exercicio_equipamento!$A$2:$A$400,B258)=0</f>
        <v>1</v>
      </c>
    </row>
    <row r="259" customFormat="false" ht="15" hidden="false" customHeight="false" outlineLevel="0" collapsed="false">
      <c r="A259" s="6" t="n">
        <v>78</v>
      </c>
      <c r="B259" s="6" t="n">
        <v>30</v>
      </c>
      <c r="C259" s="6" t="n">
        <v>2</v>
      </c>
      <c r="D259" s="7"/>
      <c r="E259" s="9" t="str">
        <f aca="false">IFERROR(INDEX(exercicio!$B$2:$B$190,MATCH(A259,exercicio!$A$2:$A$190,0)),"")</f>
        <v>Rosca Martelo</v>
      </c>
      <c r="F259" s="9" t="str">
        <f aca="false">IFERROR(INDEX(exercicio!$B$2:$B$190,MATCH(B259,exercicio!$A$2:$A$190,0)),"")</f>
        <v>Rosca Direta na Polia Baixa</v>
      </c>
      <c r="G259" s="8" t="b">
        <f aca="false">COUNTIF(exercicio_equipamento!$A$2:$A$400,B259)=0</f>
        <v>0</v>
      </c>
    </row>
    <row r="260" customFormat="false" ht="15" hidden="false" customHeight="false" outlineLevel="0" collapsed="false">
      <c r="A260" s="6" t="n">
        <v>78</v>
      </c>
      <c r="B260" s="6" t="n">
        <v>32</v>
      </c>
      <c r="C260" s="6" t="n">
        <v>3</v>
      </c>
      <c r="D260" s="7"/>
      <c r="E260" s="9" t="str">
        <f aca="false">IFERROR(INDEX(exercicio!$B$2:$B$190,MATCH(A260,exercicio!$A$2:$A$190,0)),"")</f>
        <v>Rosca Martelo</v>
      </c>
      <c r="F260" s="9" t="str">
        <f aca="false">IFERROR(INDEX(exercicio!$B$2:$B$190,MATCH(B260,exercicio!$A$2:$A$190,0)),"")</f>
        <v>Rosca Inclinada com Halteres</v>
      </c>
      <c r="G260" s="8" t="b">
        <f aca="false">COUNTIF(exercicio_equipamento!$A$2:$A$400,B260)=0</f>
        <v>0</v>
      </c>
    </row>
    <row r="261" customFormat="false" ht="15" hidden="false" customHeight="false" outlineLevel="0" collapsed="false">
      <c r="A261" s="6" t="n">
        <v>79</v>
      </c>
      <c r="B261" s="6" t="n">
        <v>32</v>
      </c>
      <c r="C261" s="6" t="n">
        <v>1</v>
      </c>
      <c r="D261" s="7"/>
      <c r="E261" s="9" t="str">
        <f aca="false">IFERROR(INDEX(exercicio!$B$2:$B$190,MATCH(A261,exercicio!$A$2:$A$190,0)),"")</f>
        <v>Rosca por Trás do Corpo na Polia</v>
      </c>
      <c r="F261" s="9" t="str">
        <f aca="false">IFERROR(INDEX(exercicio!$B$2:$B$190,MATCH(B261,exercicio!$A$2:$A$190,0)),"")</f>
        <v>Rosca Inclinada com Halteres</v>
      </c>
      <c r="G261" s="8" t="b">
        <f aca="false">COUNTIF(exercicio_equipamento!$A$2:$A$400,B261)=0</f>
        <v>0</v>
      </c>
    </row>
    <row r="262" customFormat="false" ht="15" hidden="false" customHeight="false" outlineLevel="0" collapsed="false">
      <c r="A262" s="6" t="n">
        <v>79</v>
      </c>
      <c r="B262" s="6" t="n">
        <v>30</v>
      </c>
      <c r="C262" s="6" t="n">
        <v>2</v>
      </c>
      <c r="D262" s="7"/>
      <c r="E262" s="9" t="str">
        <f aca="false">IFERROR(INDEX(exercicio!$B$2:$B$190,MATCH(A262,exercicio!$A$2:$A$190,0)),"")</f>
        <v>Rosca por Trás do Corpo na Polia</v>
      </c>
      <c r="F262" s="9" t="str">
        <f aca="false">IFERROR(INDEX(exercicio!$B$2:$B$190,MATCH(B262,exercicio!$A$2:$A$190,0)),"")</f>
        <v>Rosca Direta na Polia Baixa</v>
      </c>
      <c r="G262" s="8" t="b">
        <f aca="false">COUNTIF(exercicio_equipamento!$A$2:$A$400,B262)=0</f>
        <v>0</v>
      </c>
    </row>
    <row r="263" customFormat="false" ht="15" hidden="false" customHeight="false" outlineLevel="0" collapsed="false">
      <c r="A263" s="6" t="n">
        <v>79</v>
      </c>
      <c r="B263" s="6" t="n">
        <v>34</v>
      </c>
      <c r="C263" s="6" t="n">
        <v>3</v>
      </c>
      <c r="D263" s="7" t="s">
        <v>433</v>
      </c>
      <c r="E263" s="9" t="str">
        <f aca="false">IFERROR(INDEX(exercicio!$B$2:$B$190,MATCH(A263,exercicio!$A$2:$A$190,0)),"")</f>
        <v>Rosca por Trás do Corpo na Polia</v>
      </c>
      <c r="F263" s="9" t="str">
        <f aca="false">IFERROR(INDEX(exercicio!$B$2:$B$190,MATCH(B263,exercicio!$A$2:$A$190,0)),"")</f>
        <v>Rosca de Bíceps com Autorresistência</v>
      </c>
      <c r="G263" s="8" t="b">
        <f aca="false">COUNTIF(exercicio_equipamento!$A$2:$A$400,B263)=0</f>
        <v>1</v>
      </c>
    </row>
    <row r="264" customFormat="false" ht="15" hidden="false" customHeight="false" outlineLevel="0" collapsed="false">
      <c r="A264" s="6" t="n">
        <v>80</v>
      </c>
      <c r="B264" s="6" t="n">
        <v>8</v>
      </c>
      <c r="C264" s="6" t="n">
        <v>1</v>
      </c>
      <c r="D264" s="7"/>
      <c r="E264" s="9" t="str">
        <f aca="false">IFERROR(INDEX(exercicio!$B$2:$B$190,MATCH(A264,exercicio!$A$2:$A$190,0)),"")</f>
        <v>Tríceps Testa com Barra W</v>
      </c>
      <c r="F264" s="9" t="str">
        <f aca="false">IFERROR(INDEX(exercicio!$B$2:$B$190,MATCH(B264,exercicio!$A$2:$A$190,0)),"")</f>
        <v>Flexão Diamante</v>
      </c>
      <c r="G264" s="8" t="b">
        <f aca="false">COUNTIF(exercicio_equipamento!$A$2:$A$400,B264)=0</f>
        <v>1</v>
      </c>
    </row>
    <row r="265" customFormat="false" ht="15" hidden="false" customHeight="false" outlineLevel="0" collapsed="false">
      <c r="A265" s="6" t="n">
        <v>80</v>
      </c>
      <c r="B265" s="6" t="n">
        <v>36</v>
      </c>
      <c r="C265" s="6" t="n">
        <v>2</v>
      </c>
      <c r="D265" s="7"/>
      <c r="E265" s="9" t="str">
        <f aca="false">IFERROR(INDEX(exercicio!$B$2:$B$190,MATCH(A265,exercicio!$A$2:$A$190,0)),"")</f>
        <v>Tríceps Testa com Barra W</v>
      </c>
      <c r="F265" s="9" t="str">
        <f aca="false">IFERROR(INDEX(exercicio!$B$2:$B$190,MATCH(B265,exercicio!$A$2:$A$190,0)),"")</f>
        <v>Tríceps Testa na Polia</v>
      </c>
      <c r="G265" s="8" t="b">
        <f aca="false">COUNTIF(exercicio_equipamento!$A$2:$A$400,B265)=0</f>
        <v>0</v>
      </c>
    </row>
    <row r="266" customFormat="false" ht="15" hidden="false" customHeight="false" outlineLevel="0" collapsed="false">
      <c r="A266" s="6" t="n">
        <v>80</v>
      </c>
      <c r="B266" s="6" t="n">
        <v>37</v>
      </c>
      <c r="C266" s="6" t="n">
        <v>3</v>
      </c>
      <c r="D266" s="7"/>
      <c r="E266" s="9" t="str">
        <f aca="false">IFERROR(INDEX(exercicio!$B$2:$B$190,MATCH(A266,exercicio!$A$2:$A$190,0)),"")</f>
        <v>Tríceps Testa com Barra W</v>
      </c>
      <c r="F266" s="9" t="str">
        <f aca="false">IFERROR(INDEX(exercicio!$B$2:$B$190,MATCH(B266,exercicio!$A$2:$A$190,0)),"")</f>
        <v>Tríceps Francês na Polia</v>
      </c>
      <c r="G266" s="8" t="b">
        <f aca="false">COUNTIF(exercicio_equipamento!$A$2:$A$400,B266)=0</f>
        <v>0</v>
      </c>
    </row>
    <row r="267" customFormat="false" ht="15" hidden="false" customHeight="false" outlineLevel="0" collapsed="false">
      <c r="A267" s="6" t="n">
        <v>81</v>
      </c>
      <c r="B267" s="6" t="n">
        <v>46</v>
      </c>
      <c r="C267" s="6" t="n">
        <v>1</v>
      </c>
      <c r="D267" s="7"/>
      <c r="E267" s="9" t="str">
        <f aca="false">IFERROR(INDEX(exercicio!$B$2:$B$190,MATCH(A267,exercicio!$A$2:$A$190,0)),"")</f>
        <v>Agachamento no Smith</v>
      </c>
      <c r="F267" s="9" t="str">
        <f aca="false">IFERROR(INDEX(exercicio!$B$2:$B$190,MATCH(B267,exercicio!$A$2:$A$190,0)),"")</f>
        <v>Agachamento com Peso do Corpo</v>
      </c>
      <c r="G267" s="8" t="b">
        <f aca="false">COUNTIF(exercicio_equipamento!$A$2:$A$400,B267)=0</f>
        <v>1</v>
      </c>
    </row>
    <row r="268" customFormat="false" ht="15" hidden="false" customHeight="false" outlineLevel="0" collapsed="false">
      <c r="A268" s="6" t="n">
        <v>81</v>
      </c>
      <c r="B268" s="6" t="n">
        <v>45</v>
      </c>
      <c r="C268" s="6" t="n">
        <v>2</v>
      </c>
      <c r="D268" s="7"/>
      <c r="E268" s="9" t="str">
        <f aca="false">IFERROR(INDEX(exercicio!$B$2:$B$190,MATCH(A268,exercicio!$A$2:$A$190,0)),"")</f>
        <v>Agachamento no Smith</v>
      </c>
      <c r="F268" s="9" t="str">
        <f aca="false">IFERROR(INDEX(exercicio!$B$2:$B$190,MATCH(B268,exercicio!$A$2:$A$190,0)),"")</f>
        <v>Agachamento Livre com Barra</v>
      </c>
      <c r="G268" s="8" t="b">
        <f aca="false">COUNTIF(exercicio_equipamento!$A$2:$A$400,B268)=0</f>
        <v>0</v>
      </c>
    </row>
    <row r="269" customFormat="false" ht="15" hidden="false" customHeight="false" outlineLevel="0" collapsed="false">
      <c r="A269" s="6" t="n">
        <v>81</v>
      </c>
      <c r="B269" s="6" t="n">
        <v>82</v>
      </c>
      <c r="C269" s="6" t="n">
        <v>3</v>
      </c>
      <c r="D269" s="7"/>
      <c r="E269" s="9" t="str">
        <f aca="false">IFERROR(INDEX(exercicio!$B$2:$B$190,MATCH(A269,exercicio!$A$2:$A$190,0)),"")</f>
        <v>Agachamento no Smith</v>
      </c>
      <c r="F269" s="9" t="str">
        <f aca="false">IFERROR(INDEX(exercicio!$B$2:$B$190,MATCH(B269,exercicio!$A$2:$A$190,0)),"")</f>
        <v>Agachamento Hack</v>
      </c>
      <c r="G269" s="8" t="b">
        <f aca="false">COUNTIF(exercicio_equipamento!$A$2:$A$400,B269)=0</f>
        <v>0</v>
      </c>
    </row>
    <row r="270" customFormat="false" ht="15" hidden="false" customHeight="false" outlineLevel="0" collapsed="false">
      <c r="A270" s="6" t="n">
        <v>81</v>
      </c>
      <c r="B270" s="6" t="n">
        <v>44</v>
      </c>
      <c r="C270" s="6" t="n">
        <v>4</v>
      </c>
      <c r="D270" s="7"/>
      <c r="E270" s="9" t="str">
        <f aca="false">IFERROR(INDEX(exercicio!$B$2:$B$190,MATCH(A270,exercicio!$A$2:$A$190,0)),"")</f>
        <v>Agachamento no Smith</v>
      </c>
      <c r="F270" s="9" t="str">
        <f aca="false">IFERROR(INDEX(exercicio!$B$2:$B$190,MATCH(B270,exercicio!$A$2:$A$190,0)),"")</f>
        <v>Leg Press</v>
      </c>
      <c r="G270" s="8" t="b">
        <f aca="false">COUNTIF(exercicio_equipamento!$A$2:$A$400,B270)=0</f>
        <v>0</v>
      </c>
    </row>
    <row r="271" customFormat="false" ht="15" hidden="false" customHeight="false" outlineLevel="0" collapsed="false">
      <c r="A271" s="6" t="n">
        <v>82</v>
      </c>
      <c r="B271" s="6" t="n">
        <v>46</v>
      </c>
      <c r="C271" s="6" t="n">
        <v>1</v>
      </c>
      <c r="D271" s="7"/>
      <c r="E271" s="9" t="str">
        <f aca="false">IFERROR(INDEX(exercicio!$B$2:$B$190,MATCH(A271,exercicio!$A$2:$A$190,0)),"")</f>
        <v>Agachamento Hack</v>
      </c>
      <c r="F271" s="9" t="str">
        <f aca="false">IFERROR(INDEX(exercicio!$B$2:$B$190,MATCH(B271,exercicio!$A$2:$A$190,0)),"")</f>
        <v>Agachamento com Peso do Corpo</v>
      </c>
      <c r="G271" s="8" t="b">
        <f aca="false">COUNTIF(exercicio_equipamento!$A$2:$A$400,B271)=0</f>
        <v>1</v>
      </c>
    </row>
    <row r="272" customFormat="false" ht="15" hidden="false" customHeight="false" outlineLevel="0" collapsed="false">
      <c r="A272" s="6" t="n">
        <v>82</v>
      </c>
      <c r="B272" s="6" t="n">
        <v>44</v>
      </c>
      <c r="C272" s="6" t="n">
        <v>2</v>
      </c>
      <c r="D272" s="7"/>
      <c r="E272" s="9" t="str">
        <f aca="false">IFERROR(INDEX(exercicio!$B$2:$B$190,MATCH(A272,exercicio!$A$2:$A$190,0)),"")</f>
        <v>Agachamento Hack</v>
      </c>
      <c r="F272" s="9" t="str">
        <f aca="false">IFERROR(INDEX(exercicio!$B$2:$B$190,MATCH(B272,exercicio!$A$2:$A$190,0)),"")</f>
        <v>Leg Press</v>
      </c>
      <c r="G272" s="8" t="b">
        <f aca="false">COUNTIF(exercicio_equipamento!$A$2:$A$400,B272)=0</f>
        <v>0</v>
      </c>
    </row>
    <row r="273" customFormat="false" ht="15" hidden="false" customHeight="false" outlineLevel="0" collapsed="false">
      <c r="A273" s="6" t="n">
        <v>82</v>
      </c>
      <c r="B273" s="6" t="n">
        <v>81</v>
      </c>
      <c r="C273" s="6" t="n">
        <v>3</v>
      </c>
      <c r="D273" s="7"/>
      <c r="E273" s="9" t="str">
        <f aca="false">IFERROR(INDEX(exercicio!$B$2:$B$190,MATCH(A273,exercicio!$A$2:$A$190,0)),"")</f>
        <v>Agachamento Hack</v>
      </c>
      <c r="F273" s="9" t="str">
        <f aca="false">IFERROR(INDEX(exercicio!$B$2:$B$190,MATCH(B273,exercicio!$A$2:$A$190,0)),"")</f>
        <v>Agachamento no Smith</v>
      </c>
      <c r="G273" s="8" t="b">
        <f aca="false">COUNTIF(exercicio_equipamento!$A$2:$A$400,B273)=0</f>
        <v>0</v>
      </c>
    </row>
    <row r="274" customFormat="false" ht="15" hidden="false" customHeight="false" outlineLevel="0" collapsed="false">
      <c r="A274" s="6" t="n">
        <v>83</v>
      </c>
      <c r="B274" s="6" t="n">
        <v>51</v>
      </c>
      <c r="C274" s="6" t="n">
        <v>1</v>
      </c>
      <c r="D274" s="7"/>
      <c r="E274" s="9" t="str">
        <f aca="false">IFERROR(INDEX(exercicio!$B$2:$B$190,MATCH(A274,exercicio!$A$2:$A$190,0)),"")</f>
        <v>Mesa Flexora</v>
      </c>
      <c r="F274" s="9" t="str">
        <f aca="false">IFERROR(INDEX(exercicio!$B$2:$B$190,MATCH(B274,exercicio!$A$2:$A$190,0)),"")</f>
        <v>Stiff Unilateral</v>
      </c>
      <c r="G274" s="8" t="b">
        <f aca="false">COUNTIF(exercicio_equipamento!$A$2:$A$400,B274)=0</f>
        <v>1</v>
      </c>
    </row>
    <row r="275" customFormat="false" ht="15" hidden="false" customHeight="false" outlineLevel="0" collapsed="false">
      <c r="A275" s="6" t="n">
        <v>83</v>
      </c>
      <c r="B275" s="6" t="n">
        <v>49</v>
      </c>
      <c r="C275" s="6" t="n">
        <v>2</v>
      </c>
      <c r="D275" s="7"/>
      <c r="E275" s="9" t="str">
        <f aca="false">IFERROR(INDEX(exercicio!$B$2:$B$190,MATCH(A275,exercicio!$A$2:$A$190,0)),"")</f>
        <v>Mesa Flexora</v>
      </c>
      <c r="F275" s="9" t="str">
        <f aca="false">IFERROR(INDEX(exercicio!$B$2:$B$190,MATCH(B275,exercicio!$A$2:$A$190,0)),"")</f>
        <v>Cadeira Flexora</v>
      </c>
      <c r="G275" s="8" t="b">
        <f aca="false">COUNTIF(exercicio_equipamento!$A$2:$A$400,B275)=0</f>
        <v>0</v>
      </c>
    </row>
    <row r="276" customFormat="false" ht="15" hidden="false" customHeight="false" outlineLevel="0" collapsed="false">
      <c r="A276" s="6" t="n">
        <v>83</v>
      </c>
      <c r="B276" s="6" t="n">
        <v>50</v>
      </c>
      <c r="C276" s="6" t="n">
        <v>3</v>
      </c>
      <c r="D276" s="7"/>
      <c r="E276" s="9" t="str">
        <f aca="false">IFERROR(INDEX(exercicio!$B$2:$B$190,MATCH(A276,exercicio!$A$2:$A$190,0)),"")</f>
        <v>Mesa Flexora</v>
      </c>
      <c r="F276" s="9" t="str">
        <f aca="false">IFERROR(INDEX(exercicio!$B$2:$B$190,MATCH(B276,exercicio!$A$2:$A$190,0)),"")</f>
        <v>Stiff</v>
      </c>
      <c r="G276" s="8" t="b">
        <f aca="false">COUNTIF(exercicio_equipamento!$A$2:$A$400,B276)=0</f>
        <v>0</v>
      </c>
    </row>
    <row r="277" customFormat="false" ht="15" hidden="false" customHeight="false" outlineLevel="0" collapsed="false">
      <c r="A277" s="6" t="n">
        <v>84</v>
      </c>
      <c r="B277" s="6" t="n">
        <v>55</v>
      </c>
      <c r="C277" s="6" t="n">
        <v>1</v>
      </c>
      <c r="D277" s="7"/>
      <c r="E277" s="9" t="str">
        <f aca="false">IFERROR(INDEX(exercicio!$B$2:$B$190,MATCH(A277,exercicio!$A$2:$A$190,0)),"")</f>
        <v>Elevação de Panturrilha Sentado</v>
      </c>
      <c r="F277" s="9" t="str">
        <f aca="false">IFERROR(INDEX(exercicio!$B$2:$B$190,MATCH(B277,exercicio!$A$2:$A$190,0)),"")</f>
        <v>Elevação de Panturrilha em Pé com Peso do Corpo</v>
      </c>
      <c r="G277" s="8" t="b">
        <f aca="false">COUNTIF(exercicio_equipamento!$A$2:$A$400,B277)=0</f>
        <v>1</v>
      </c>
    </row>
    <row r="278" customFormat="false" ht="15" hidden="false" customHeight="false" outlineLevel="0" collapsed="false">
      <c r="A278" s="6" t="n">
        <v>84</v>
      </c>
      <c r="B278" s="6" t="n">
        <v>56</v>
      </c>
      <c r="C278" s="6" t="n">
        <v>2</v>
      </c>
      <c r="D278" s="7"/>
      <c r="E278" s="9" t="str">
        <f aca="false">IFERROR(INDEX(exercicio!$B$2:$B$190,MATCH(A278,exercicio!$A$2:$A$190,0)),"")</f>
        <v>Elevação de Panturrilha Sentado</v>
      </c>
      <c r="F278" s="9" t="str">
        <f aca="false">IFERROR(INDEX(exercicio!$B$2:$B$190,MATCH(B278,exercicio!$A$2:$A$190,0)),"")</f>
        <v>Elevação de Panturrilha Unilateral com Peso do Corpo</v>
      </c>
      <c r="G278" s="8" t="b">
        <f aca="false">COUNTIF(exercicio_equipamento!$A$2:$A$400,B278)=0</f>
        <v>1</v>
      </c>
    </row>
    <row r="279" customFormat="false" ht="15" hidden="false" customHeight="false" outlineLevel="0" collapsed="false">
      <c r="A279" s="6" t="n">
        <v>84</v>
      </c>
      <c r="B279" s="6" t="n">
        <v>57</v>
      </c>
      <c r="C279" s="6" t="n">
        <v>3</v>
      </c>
      <c r="D279" s="7"/>
      <c r="E279" s="9" t="str">
        <f aca="false">IFERROR(INDEX(exercicio!$B$2:$B$190,MATCH(A279,exercicio!$A$2:$A$190,0)),"")</f>
        <v>Elevação de Panturrilha Sentado</v>
      </c>
      <c r="F279" s="9" t="str">
        <f aca="false">IFERROR(INDEX(exercicio!$B$2:$B$190,MATCH(B279,exercicio!$A$2:$A$190,0)),"")</f>
        <v>Elevação de Panturrilha em Pé na Máquina</v>
      </c>
      <c r="G279" s="8" t="b">
        <f aca="false">COUNTIF(exercicio_equipamento!$A$2:$A$400,B279)=0</f>
        <v>0</v>
      </c>
    </row>
    <row r="280" customFormat="false" ht="15" hidden="false" customHeight="false" outlineLevel="0" collapsed="false">
      <c r="A280" s="6" t="n">
        <v>85</v>
      </c>
      <c r="B280" s="6" t="n">
        <v>88</v>
      </c>
      <c r="C280" s="6" t="n">
        <v>1</v>
      </c>
      <c r="D280" s="7"/>
      <c r="E280" s="9" t="str">
        <f aca="false">IFERROR(INDEX(exercicio!$B$2:$B$190,MATCH(A280,exercicio!$A$2:$A$190,0)),"")</f>
        <v>Cadeira Adutora</v>
      </c>
      <c r="F280" s="9" t="str">
        <f aca="false">IFERROR(INDEX(exercicio!$B$2:$B$190,MATCH(B280,exercicio!$A$2:$A$190,0)),"")</f>
        <v>Adução de Quadril Deitado de Lado</v>
      </c>
      <c r="G280" s="8" t="b">
        <f aca="false">COUNTIF(exercicio_equipamento!$A$2:$A$400,B280)=0</f>
        <v>1</v>
      </c>
    </row>
    <row r="281" customFormat="false" ht="15" hidden="false" customHeight="false" outlineLevel="0" collapsed="false">
      <c r="A281" s="6" t="n">
        <v>85</v>
      </c>
      <c r="B281" s="6" t="n">
        <v>89</v>
      </c>
      <c r="C281" s="6" t="n">
        <v>2</v>
      </c>
      <c r="D281" s="7"/>
      <c r="E281" s="9" t="str">
        <f aca="false">IFERROR(INDEX(exercicio!$B$2:$B$190,MATCH(A281,exercicio!$A$2:$A$190,0)),"")</f>
        <v>Cadeira Adutora</v>
      </c>
      <c r="F281" s="9" t="str">
        <f aca="false">IFERROR(INDEX(exercicio!$B$2:$B$190,MATCH(B281,exercicio!$A$2:$A$190,0)),"")</f>
        <v>Afundo Lateral</v>
      </c>
      <c r="G281" s="8" t="b">
        <f aca="false">COUNTIF(exercicio_equipamento!$A$2:$A$400,B281)=0</f>
        <v>1</v>
      </c>
    </row>
    <row r="282" customFormat="false" ht="15" hidden="false" customHeight="false" outlineLevel="0" collapsed="false">
      <c r="A282" s="6" t="n">
        <v>86</v>
      </c>
      <c r="B282" s="6" t="n">
        <v>87</v>
      </c>
      <c r="C282" s="6" t="n">
        <v>1</v>
      </c>
      <c r="D282" s="7"/>
      <c r="E282" s="9" t="str">
        <f aca="false">IFERROR(INDEX(exercicio!$B$2:$B$190,MATCH(A282,exercicio!$A$2:$A$190,0)),"")</f>
        <v>Cadeira Abdutora</v>
      </c>
      <c r="F282" s="9" t="str">
        <f aca="false">IFERROR(INDEX(exercicio!$B$2:$B$190,MATCH(B282,exercicio!$A$2:$A$190,0)),"")</f>
        <v>Abdução de Quadril Deitado de Lado</v>
      </c>
      <c r="G282" s="8" t="b">
        <f aca="false">COUNTIF(exercicio_equipamento!$A$2:$A$400,B282)=0</f>
        <v>1</v>
      </c>
    </row>
    <row r="283" customFormat="false" ht="15" hidden="false" customHeight="false" outlineLevel="0" collapsed="false">
      <c r="A283" s="6" t="n">
        <v>86</v>
      </c>
      <c r="B283" s="6" t="n">
        <v>53</v>
      </c>
      <c r="C283" s="6" t="n">
        <v>2</v>
      </c>
      <c r="D283" s="7" t="s">
        <v>434</v>
      </c>
      <c r="E283" s="9" t="str">
        <f aca="false">IFERROR(INDEX(exercicio!$B$2:$B$190,MATCH(A283,exercicio!$A$2:$A$190,0)),"")</f>
        <v>Cadeira Abdutora</v>
      </c>
      <c r="F283" s="9" t="str">
        <f aca="false">IFERROR(INDEX(exercicio!$B$2:$B$190,MATCH(B283,exercicio!$A$2:$A$190,0)),"")</f>
        <v>Elevação Pélvica com Peso do Corpo</v>
      </c>
      <c r="G283" s="8" t="b">
        <f aca="false">COUNTIF(exercicio_equipamento!$A$2:$A$400,B283)=0</f>
        <v>1</v>
      </c>
    </row>
    <row r="284" customFormat="false" ht="15" hidden="false" customHeight="false" outlineLevel="0" collapsed="false">
      <c r="A284" s="6" t="n">
        <v>86</v>
      </c>
      <c r="B284" s="6" t="n">
        <v>54</v>
      </c>
      <c r="C284" s="6" t="n">
        <v>3</v>
      </c>
      <c r="D284" s="7"/>
      <c r="E284" s="9" t="str">
        <f aca="false">IFERROR(INDEX(exercicio!$B$2:$B$190,MATCH(A284,exercicio!$A$2:$A$190,0)),"")</f>
        <v>Cadeira Abdutora</v>
      </c>
      <c r="F284" s="9" t="str">
        <f aca="false">IFERROR(INDEX(exercicio!$B$2:$B$190,MATCH(B284,exercicio!$A$2:$A$190,0)),"")</f>
        <v>Elevação Pélvica com Barra</v>
      </c>
      <c r="G284" s="8" t="b">
        <f aca="false">COUNTIF(exercicio_equipamento!$A$2:$A$400,B284)=0</f>
        <v>0</v>
      </c>
    </row>
    <row r="285" customFormat="false" ht="15" hidden="false" customHeight="false" outlineLevel="0" collapsed="false">
      <c r="A285" s="6" t="n">
        <v>87</v>
      </c>
      <c r="B285" s="6" t="n">
        <v>86</v>
      </c>
      <c r="C285" s="6" t="n">
        <v>1</v>
      </c>
      <c r="D285" s="7"/>
      <c r="E285" s="9" t="str">
        <f aca="false">IFERROR(INDEX(exercicio!$B$2:$B$190,MATCH(A285,exercicio!$A$2:$A$190,0)),"")</f>
        <v>Abdução de Quadril Deitado de Lado</v>
      </c>
      <c r="F285" s="9" t="str">
        <f aca="false">IFERROR(INDEX(exercicio!$B$2:$B$190,MATCH(B285,exercicio!$A$2:$A$190,0)),"")</f>
        <v>Cadeira Abdutora</v>
      </c>
      <c r="G285" s="8" t="b">
        <f aca="false">COUNTIF(exercicio_equipamento!$A$2:$A$400,B285)=0</f>
        <v>0</v>
      </c>
    </row>
    <row r="286" customFormat="false" ht="15" hidden="false" customHeight="false" outlineLevel="0" collapsed="false">
      <c r="A286" s="6" t="n">
        <v>87</v>
      </c>
      <c r="B286" s="6" t="n">
        <v>53</v>
      </c>
      <c r="C286" s="6" t="n">
        <v>2</v>
      </c>
      <c r="D286" s="7" t="s">
        <v>434</v>
      </c>
      <c r="E286" s="9" t="str">
        <f aca="false">IFERROR(INDEX(exercicio!$B$2:$B$190,MATCH(A286,exercicio!$A$2:$A$190,0)),"")</f>
        <v>Abdução de Quadril Deitado de Lado</v>
      </c>
      <c r="F286" s="9" t="str">
        <f aca="false">IFERROR(INDEX(exercicio!$B$2:$B$190,MATCH(B286,exercicio!$A$2:$A$190,0)),"")</f>
        <v>Elevação Pélvica com Peso do Corpo</v>
      </c>
      <c r="G286" s="8" t="b">
        <f aca="false">COUNTIF(exercicio_equipamento!$A$2:$A$400,B286)=0</f>
        <v>1</v>
      </c>
    </row>
    <row r="287" customFormat="false" ht="15" hidden="false" customHeight="false" outlineLevel="0" collapsed="false">
      <c r="A287" s="6" t="n">
        <v>88</v>
      </c>
      <c r="B287" s="6" t="n">
        <v>89</v>
      </c>
      <c r="C287" s="6" t="n">
        <v>1</v>
      </c>
      <c r="D287" s="7"/>
      <c r="E287" s="9" t="str">
        <f aca="false">IFERROR(INDEX(exercicio!$B$2:$B$190,MATCH(A287,exercicio!$A$2:$A$190,0)),"")</f>
        <v>Adução de Quadril Deitado de Lado</v>
      </c>
      <c r="F287" s="9" t="str">
        <f aca="false">IFERROR(INDEX(exercicio!$B$2:$B$190,MATCH(B287,exercicio!$A$2:$A$190,0)),"")</f>
        <v>Afundo Lateral</v>
      </c>
      <c r="G287" s="8" t="b">
        <f aca="false">COUNTIF(exercicio_equipamento!$A$2:$A$400,B287)=0</f>
        <v>1</v>
      </c>
    </row>
    <row r="288" customFormat="false" ht="15" hidden="false" customHeight="false" outlineLevel="0" collapsed="false">
      <c r="A288" s="6" t="n">
        <v>88</v>
      </c>
      <c r="B288" s="6" t="n">
        <v>85</v>
      </c>
      <c r="C288" s="6" t="n">
        <v>2</v>
      </c>
      <c r="D288" s="7"/>
      <c r="E288" s="9" t="str">
        <f aca="false">IFERROR(INDEX(exercicio!$B$2:$B$190,MATCH(A288,exercicio!$A$2:$A$190,0)),"")</f>
        <v>Adução de Quadril Deitado de Lado</v>
      </c>
      <c r="F288" s="9" t="str">
        <f aca="false">IFERROR(INDEX(exercicio!$B$2:$B$190,MATCH(B288,exercicio!$A$2:$A$190,0)),"")</f>
        <v>Cadeira Adutora</v>
      </c>
      <c r="G288" s="8" t="b">
        <f aca="false">COUNTIF(exercicio_equipamento!$A$2:$A$400,B288)=0</f>
        <v>0</v>
      </c>
    </row>
    <row r="289" customFormat="false" ht="15" hidden="false" customHeight="false" outlineLevel="0" collapsed="false">
      <c r="A289" s="6" t="n">
        <v>89</v>
      </c>
      <c r="B289" s="6" t="n">
        <v>88</v>
      </c>
      <c r="C289" s="6" t="n">
        <v>1</v>
      </c>
      <c r="D289" s="7"/>
      <c r="E289" s="9" t="str">
        <f aca="false">IFERROR(INDEX(exercicio!$B$2:$B$190,MATCH(A289,exercicio!$A$2:$A$190,0)),"")</f>
        <v>Afundo Lateral</v>
      </c>
      <c r="F289" s="9" t="str">
        <f aca="false">IFERROR(INDEX(exercicio!$B$2:$B$190,MATCH(B289,exercicio!$A$2:$A$190,0)),"")</f>
        <v>Adução de Quadril Deitado de Lado</v>
      </c>
      <c r="G289" s="8" t="b">
        <f aca="false">COUNTIF(exercicio_equipamento!$A$2:$A$400,B289)=0</f>
        <v>1</v>
      </c>
    </row>
    <row r="290" customFormat="false" ht="15" hidden="false" customHeight="false" outlineLevel="0" collapsed="false">
      <c r="A290" s="6" t="n">
        <v>89</v>
      </c>
      <c r="B290" s="6" t="n">
        <v>47</v>
      </c>
      <c r="C290" s="6" t="n">
        <v>2</v>
      </c>
      <c r="D290" s="7"/>
      <c r="E290" s="9" t="str">
        <f aca="false">IFERROR(INDEX(exercicio!$B$2:$B$190,MATCH(A290,exercicio!$A$2:$A$190,0)),"")</f>
        <v>Afundo Lateral</v>
      </c>
      <c r="F290" s="9" t="str">
        <f aca="false">IFERROR(INDEX(exercicio!$B$2:$B$190,MATCH(B290,exercicio!$A$2:$A$190,0)),"")</f>
        <v>Afundo</v>
      </c>
      <c r="G290" s="8" t="b">
        <f aca="false">COUNTIF(exercicio_equipamento!$A$2:$A$400,B290)=0</f>
        <v>1</v>
      </c>
    </row>
    <row r="291" customFormat="false" ht="15" hidden="false" customHeight="false" outlineLevel="0" collapsed="false">
      <c r="A291" s="6" t="n">
        <v>89</v>
      </c>
      <c r="B291" s="6" t="n">
        <v>46</v>
      </c>
      <c r="C291" s="6" t="n">
        <v>3</v>
      </c>
      <c r="D291" s="7"/>
      <c r="E291" s="9" t="str">
        <f aca="false">IFERROR(INDEX(exercicio!$B$2:$B$190,MATCH(A291,exercicio!$A$2:$A$190,0)),"")</f>
        <v>Afundo Lateral</v>
      </c>
      <c r="F291" s="9" t="str">
        <f aca="false">IFERROR(INDEX(exercicio!$B$2:$B$190,MATCH(B291,exercicio!$A$2:$A$190,0)),"")</f>
        <v>Agachamento com Peso do Corpo</v>
      </c>
      <c r="G291" s="8" t="b">
        <f aca="false">COUNTIF(exercicio_equipamento!$A$2:$A$400,B291)=0</f>
        <v>1</v>
      </c>
    </row>
    <row r="292" customFormat="false" ht="15" hidden="false" customHeight="false" outlineLevel="0" collapsed="false">
      <c r="A292" s="6" t="n">
        <v>89</v>
      </c>
      <c r="B292" s="6" t="n">
        <v>85</v>
      </c>
      <c r="C292" s="6" t="n">
        <v>4</v>
      </c>
      <c r="D292" s="7"/>
      <c r="E292" s="9" t="str">
        <f aca="false">IFERROR(INDEX(exercicio!$B$2:$B$190,MATCH(A292,exercicio!$A$2:$A$190,0)),"")</f>
        <v>Afundo Lateral</v>
      </c>
      <c r="F292" s="9" t="str">
        <f aca="false">IFERROR(INDEX(exercicio!$B$2:$B$190,MATCH(B292,exercicio!$A$2:$A$190,0)),"")</f>
        <v>Cadeira Adutora</v>
      </c>
      <c r="G292" s="8" t="b">
        <f aca="false">COUNTIF(exercicio_equipamento!$A$2:$A$400,B292)=0</f>
        <v>0</v>
      </c>
    </row>
  </sheetData>
  <autoFilter ref="A1:G29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E1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22"/>
  </cols>
  <sheetData>
    <row r="1" customFormat="false" ht="31.5" hidden="false" customHeight="true" outlineLevel="0" collapsed="false">
      <c r="A1" s="4" t="s">
        <v>422</v>
      </c>
      <c r="B1" s="4" t="s">
        <v>435</v>
      </c>
      <c r="C1" s="4" t="s">
        <v>436</v>
      </c>
      <c r="D1" s="5" t="s">
        <v>425</v>
      </c>
      <c r="E1" s="5" t="s">
        <v>437</v>
      </c>
    </row>
    <row r="2" customFormat="false" ht="15" hidden="false" customHeight="false" outlineLevel="0" collapsed="false">
      <c r="A2" s="6" t="n">
        <v>1</v>
      </c>
      <c r="B2" s="6" t="n">
        <v>1</v>
      </c>
      <c r="C2" s="6" t="s">
        <v>438</v>
      </c>
      <c r="D2" s="9" t="str">
        <f aca="false">IFERROR(INDEX(exercicio!$B$2:$B$190,MATCH(A2,exercicio!$A$2:$A$190,0)),"")</f>
        <v>Supino Reto com Barra</v>
      </c>
      <c r="E2" s="9" t="str">
        <f aca="false">IFERROR(INDEX(grupo_muscular!$C$2:$C$50,MATCH(B2,grupo_muscular!$A$2:$A$50,0)),"")</f>
        <v>Peitoral</v>
      </c>
    </row>
    <row r="3" customFormat="false" ht="15" hidden="false" customHeight="false" outlineLevel="0" collapsed="false">
      <c r="A3" s="6" t="n">
        <v>1</v>
      </c>
      <c r="B3" s="6" t="n">
        <v>3</v>
      </c>
      <c r="C3" s="6" t="s">
        <v>439</v>
      </c>
      <c r="D3" s="9" t="str">
        <f aca="false">IFERROR(INDEX(exercicio!$B$2:$B$190,MATCH(A3,exercicio!$A$2:$A$190,0)),"")</f>
        <v>Supino Reto com Barra</v>
      </c>
      <c r="E3" s="9" t="str">
        <f aca="false">IFERROR(INDEX(grupo_muscular!$C$2:$C$50,MATCH(B3,grupo_muscular!$A$2:$A$50,0)),"")</f>
        <v>Tríceps</v>
      </c>
    </row>
    <row r="4" customFormat="false" ht="15" hidden="false" customHeight="false" outlineLevel="0" collapsed="false">
      <c r="A4" s="6" t="n">
        <v>1</v>
      </c>
      <c r="B4" s="6" t="n">
        <v>2</v>
      </c>
      <c r="C4" s="6" t="s">
        <v>439</v>
      </c>
      <c r="D4" s="9" t="str">
        <f aca="false">IFERROR(INDEX(exercicio!$B$2:$B$190,MATCH(A4,exercicio!$A$2:$A$190,0)),"")</f>
        <v>Supino Reto com Barra</v>
      </c>
      <c r="E4" s="9" t="str">
        <f aca="false">IFERROR(INDEX(grupo_muscular!$C$2:$C$50,MATCH(B4,grupo_muscular!$A$2:$A$50,0)),"")</f>
        <v>Deltoides</v>
      </c>
    </row>
    <row r="5" customFormat="false" ht="15" hidden="false" customHeight="false" outlineLevel="0" collapsed="false">
      <c r="A5" s="6" t="n">
        <v>2</v>
      </c>
      <c r="B5" s="6" t="n">
        <v>1</v>
      </c>
      <c r="C5" s="6" t="s">
        <v>438</v>
      </c>
      <c r="D5" s="9" t="str">
        <f aca="false">IFERROR(INDEX(exercicio!$B$2:$B$190,MATCH(A5,exercicio!$A$2:$A$190,0)),"")</f>
        <v>Supino Inclinado com Halteres</v>
      </c>
      <c r="E5" s="9" t="str">
        <f aca="false">IFERROR(INDEX(grupo_muscular!$C$2:$C$50,MATCH(B5,grupo_muscular!$A$2:$A$50,0)),"")</f>
        <v>Peitoral</v>
      </c>
    </row>
    <row r="6" customFormat="false" ht="15" hidden="false" customHeight="false" outlineLevel="0" collapsed="false">
      <c r="A6" s="6" t="n">
        <v>2</v>
      </c>
      <c r="B6" s="6" t="n">
        <v>3</v>
      </c>
      <c r="C6" s="6" t="s">
        <v>439</v>
      </c>
      <c r="D6" s="9" t="str">
        <f aca="false">IFERROR(INDEX(exercicio!$B$2:$B$190,MATCH(A6,exercicio!$A$2:$A$190,0)),"")</f>
        <v>Supino Inclinado com Halteres</v>
      </c>
      <c r="E6" s="9" t="str">
        <f aca="false">IFERROR(INDEX(grupo_muscular!$C$2:$C$50,MATCH(B6,grupo_muscular!$A$2:$A$50,0)),"")</f>
        <v>Tríceps</v>
      </c>
    </row>
    <row r="7" customFormat="false" ht="15" hidden="false" customHeight="false" outlineLevel="0" collapsed="false">
      <c r="A7" s="6" t="n">
        <v>2</v>
      </c>
      <c r="B7" s="6" t="n">
        <v>2</v>
      </c>
      <c r="C7" s="6" t="s">
        <v>439</v>
      </c>
      <c r="D7" s="9" t="str">
        <f aca="false">IFERROR(INDEX(exercicio!$B$2:$B$190,MATCH(A7,exercicio!$A$2:$A$190,0)),"")</f>
        <v>Supino Inclinado com Halteres</v>
      </c>
      <c r="E7" s="9" t="str">
        <f aca="false">IFERROR(INDEX(grupo_muscular!$C$2:$C$50,MATCH(B7,grupo_muscular!$A$2:$A$50,0)),"")</f>
        <v>Deltoides</v>
      </c>
    </row>
    <row r="8" customFormat="false" ht="15" hidden="false" customHeight="false" outlineLevel="0" collapsed="false">
      <c r="A8" s="6" t="n">
        <v>3</v>
      </c>
      <c r="B8" s="6" t="n">
        <v>1</v>
      </c>
      <c r="C8" s="6" t="s">
        <v>438</v>
      </c>
      <c r="D8" s="9" t="str">
        <f aca="false">IFERROR(INDEX(exercicio!$B$2:$B$190,MATCH(A8,exercicio!$A$2:$A$190,0)),"")</f>
        <v>Voador Peitoral</v>
      </c>
      <c r="E8" s="9" t="str">
        <f aca="false">IFERROR(INDEX(grupo_muscular!$C$2:$C$50,MATCH(B8,grupo_muscular!$A$2:$A$50,0)),"")</f>
        <v>Peitoral</v>
      </c>
    </row>
    <row r="9" customFormat="false" ht="15" hidden="false" customHeight="false" outlineLevel="0" collapsed="false">
      <c r="A9" s="6" t="n">
        <v>3</v>
      </c>
      <c r="B9" s="6" t="n">
        <v>2</v>
      </c>
      <c r="C9" s="6" t="s">
        <v>439</v>
      </c>
      <c r="D9" s="9" t="str">
        <f aca="false">IFERROR(INDEX(exercicio!$B$2:$B$190,MATCH(A9,exercicio!$A$2:$A$190,0)),"")</f>
        <v>Voador Peitoral</v>
      </c>
      <c r="E9" s="9" t="str">
        <f aca="false">IFERROR(INDEX(grupo_muscular!$C$2:$C$50,MATCH(B9,grupo_muscular!$A$2:$A$50,0)),"")</f>
        <v>Deltoides</v>
      </c>
    </row>
    <row r="10" customFormat="false" ht="15" hidden="false" customHeight="false" outlineLevel="0" collapsed="false">
      <c r="A10" s="6" t="n">
        <v>4</v>
      </c>
      <c r="B10" s="6" t="n">
        <v>1</v>
      </c>
      <c r="C10" s="6" t="s">
        <v>438</v>
      </c>
      <c r="D10" s="9" t="str">
        <f aca="false">IFERROR(INDEX(exercicio!$B$2:$B$190,MATCH(A10,exercicio!$A$2:$A$190,0)),"")</f>
        <v>Flexão de Braço</v>
      </c>
      <c r="E10" s="9" t="str">
        <f aca="false">IFERROR(INDEX(grupo_muscular!$C$2:$C$50,MATCH(B10,grupo_muscular!$A$2:$A$50,0)),"")</f>
        <v>Peitoral</v>
      </c>
    </row>
    <row r="11" customFormat="false" ht="15" hidden="false" customHeight="false" outlineLevel="0" collapsed="false">
      <c r="A11" s="6" t="n">
        <v>4</v>
      </c>
      <c r="B11" s="6" t="n">
        <v>3</v>
      </c>
      <c r="C11" s="6" t="s">
        <v>439</v>
      </c>
      <c r="D11" s="9" t="str">
        <f aca="false">IFERROR(INDEX(exercicio!$B$2:$B$190,MATCH(A11,exercicio!$A$2:$A$190,0)),"")</f>
        <v>Flexão de Braço</v>
      </c>
      <c r="E11" s="9" t="str">
        <f aca="false">IFERROR(INDEX(grupo_muscular!$C$2:$C$50,MATCH(B11,grupo_muscular!$A$2:$A$50,0)),"")</f>
        <v>Tríceps</v>
      </c>
    </row>
    <row r="12" customFormat="false" ht="15" hidden="false" customHeight="false" outlineLevel="0" collapsed="false">
      <c r="A12" s="6" t="n">
        <v>4</v>
      </c>
      <c r="B12" s="6" t="n">
        <v>2</v>
      </c>
      <c r="C12" s="6" t="s">
        <v>439</v>
      </c>
      <c r="D12" s="9" t="str">
        <f aca="false">IFERROR(INDEX(exercicio!$B$2:$B$190,MATCH(A12,exercicio!$A$2:$A$190,0)),"")</f>
        <v>Flexão de Braço</v>
      </c>
      <c r="E12" s="9" t="str">
        <f aca="false">IFERROR(INDEX(grupo_muscular!$C$2:$C$50,MATCH(B12,grupo_muscular!$A$2:$A$50,0)),"")</f>
        <v>Deltoides</v>
      </c>
    </row>
    <row r="13" customFormat="false" ht="15" hidden="false" customHeight="false" outlineLevel="0" collapsed="false">
      <c r="A13" s="6" t="n">
        <v>4</v>
      </c>
      <c r="B13" s="6" t="n">
        <v>9</v>
      </c>
      <c r="C13" s="6" t="s">
        <v>439</v>
      </c>
      <c r="D13" s="9" t="str">
        <f aca="false">IFERROR(INDEX(exercicio!$B$2:$B$190,MATCH(A13,exercicio!$A$2:$A$190,0)),"")</f>
        <v>Flexão de Braço</v>
      </c>
      <c r="E13" s="9" t="str">
        <f aca="false">IFERROR(INDEX(grupo_muscular!$C$2:$C$50,MATCH(B13,grupo_muscular!$A$2:$A$50,0)),"")</f>
        <v>Abdômen</v>
      </c>
    </row>
    <row r="14" customFormat="false" ht="15" hidden="false" customHeight="false" outlineLevel="0" collapsed="false">
      <c r="A14" s="6" t="n">
        <v>5</v>
      </c>
      <c r="B14" s="6" t="n">
        <v>1</v>
      </c>
      <c r="C14" s="6" t="s">
        <v>438</v>
      </c>
      <c r="D14" s="9" t="str">
        <f aca="false">IFERROR(INDEX(exercicio!$B$2:$B$190,MATCH(A14,exercicio!$A$2:$A$190,0)),"")</f>
        <v>Flexão com Apoio Afastado</v>
      </c>
      <c r="E14" s="9" t="str">
        <f aca="false">IFERROR(INDEX(grupo_muscular!$C$2:$C$50,MATCH(B14,grupo_muscular!$A$2:$A$50,0)),"")</f>
        <v>Peitoral</v>
      </c>
    </row>
    <row r="15" customFormat="false" ht="15" hidden="false" customHeight="false" outlineLevel="0" collapsed="false">
      <c r="A15" s="6" t="n">
        <v>5</v>
      </c>
      <c r="B15" s="6" t="n">
        <v>3</v>
      </c>
      <c r="C15" s="6" t="s">
        <v>439</v>
      </c>
      <c r="D15" s="9" t="str">
        <f aca="false">IFERROR(INDEX(exercicio!$B$2:$B$190,MATCH(A15,exercicio!$A$2:$A$190,0)),"")</f>
        <v>Flexão com Apoio Afastado</v>
      </c>
      <c r="E15" s="9" t="str">
        <f aca="false">IFERROR(INDEX(grupo_muscular!$C$2:$C$50,MATCH(B15,grupo_muscular!$A$2:$A$50,0)),"")</f>
        <v>Tríceps</v>
      </c>
    </row>
    <row r="16" customFormat="false" ht="15" hidden="false" customHeight="false" outlineLevel="0" collapsed="false">
      <c r="A16" s="6" t="n">
        <v>5</v>
      </c>
      <c r="B16" s="6" t="n">
        <v>2</v>
      </c>
      <c r="C16" s="6" t="s">
        <v>439</v>
      </c>
      <c r="D16" s="9" t="str">
        <f aca="false">IFERROR(INDEX(exercicio!$B$2:$B$190,MATCH(A16,exercicio!$A$2:$A$190,0)),"")</f>
        <v>Flexão com Apoio Afastado</v>
      </c>
      <c r="E16" s="9" t="str">
        <f aca="false">IFERROR(INDEX(grupo_muscular!$C$2:$C$50,MATCH(B16,grupo_muscular!$A$2:$A$50,0)),"")</f>
        <v>Deltoides</v>
      </c>
    </row>
    <row r="17" customFormat="false" ht="15" hidden="false" customHeight="false" outlineLevel="0" collapsed="false">
      <c r="A17" s="6" t="n">
        <v>6</v>
      </c>
      <c r="B17" s="6" t="n">
        <v>1</v>
      </c>
      <c r="C17" s="6" t="s">
        <v>438</v>
      </c>
      <c r="D17" s="9" t="str">
        <f aca="false">IFERROR(INDEX(exercicio!$B$2:$B$190,MATCH(A17,exercicio!$A$2:$A$190,0)),"")</f>
        <v>Flexão com Pés Elevados</v>
      </c>
      <c r="E17" s="9" t="str">
        <f aca="false">IFERROR(INDEX(grupo_muscular!$C$2:$C$50,MATCH(B17,grupo_muscular!$A$2:$A$50,0)),"")</f>
        <v>Peitoral</v>
      </c>
    </row>
    <row r="18" customFormat="false" ht="15" hidden="false" customHeight="false" outlineLevel="0" collapsed="false">
      <c r="A18" s="6" t="n">
        <v>6</v>
      </c>
      <c r="B18" s="6" t="n">
        <v>2</v>
      </c>
      <c r="C18" s="6" t="s">
        <v>439</v>
      </c>
      <c r="D18" s="9" t="str">
        <f aca="false">IFERROR(INDEX(exercicio!$B$2:$B$190,MATCH(A18,exercicio!$A$2:$A$190,0)),"")</f>
        <v>Flexão com Pés Elevados</v>
      </c>
      <c r="E18" s="9" t="str">
        <f aca="false">IFERROR(INDEX(grupo_muscular!$C$2:$C$50,MATCH(B18,grupo_muscular!$A$2:$A$50,0)),"")</f>
        <v>Deltoides</v>
      </c>
    </row>
    <row r="19" customFormat="false" ht="15" hidden="false" customHeight="false" outlineLevel="0" collapsed="false">
      <c r="A19" s="6" t="n">
        <v>6</v>
      </c>
      <c r="B19" s="6" t="n">
        <v>3</v>
      </c>
      <c r="C19" s="6" t="s">
        <v>439</v>
      </c>
      <c r="D19" s="9" t="str">
        <f aca="false">IFERROR(INDEX(exercicio!$B$2:$B$190,MATCH(A19,exercicio!$A$2:$A$190,0)),"")</f>
        <v>Flexão com Pés Elevados</v>
      </c>
      <c r="E19" s="9" t="str">
        <f aca="false">IFERROR(INDEX(grupo_muscular!$C$2:$C$50,MATCH(B19,grupo_muscular!$A$2:$A$50,0)),"")</f>
        <v>Tríceps</v>
      </c>
    </row>
    <row r="20" customFormat="false" ht="15" hidden="false" customHeight="false" outlineLevel="0" collapsed="false">
      <c r="A20" s="6" t="n">
        <v>7</v>
      </c>
      <c r="B20" s="6" t="n">
        <v>3</v>
      </c>
      <c r="C20" s="6" t="s">
        <v>438</v>
      </c>
      <c r="D20" s="9" t="str">
        <f aca="false">IFERROR(INDEX(exercicio!$B$2:$B$190,MATCH(A20,exercicio!$A$2:$A$190,0)),"")</f>
        <v>Mergulho em Paralelas</v>
      </c>
      <c r="E20" s="9" t="str">
        <f aca="false">IFERROR(INDEX(grupo_muscular!$C$2:$C$50,MATCH(B20,grupo_muscular!$A$2:$A$50,0)),"")</f>
        <v>Tríceps</v>
      </c>
    </row>
    <row r="21" customFormat="false" ht="15" hidden="false" customHeight="false" outlineLevel="0" collapsed="false">
      <c r="A21" s="6" t="n">
        <v>7</v>
      </c>
      <c r="B21" s="6" t="n">
        <v>1</v>
      </c>
      <c r="C21" s="6" t="s">
        <v>439</v>
      </c>
      <c r="D21" s="9" t="str">
        <f aca="false">IFERROR(INDEX(exercicio!$B$2:$B$190,MATCH(A21,exercicio!$A$2:$A$190,0)),"")</f>
        <v>Mergulho em Paralelas</v>
      </c>
      <c r="E21" s="9" t="str">
        <f aca="false">IFERROR(INDEX(grupo_muscular!$C$2:$C$50,MATCH(B21,grupo_muscular!$A$2:$A$50,0)),"")</f>
        <v>Peitoral</v>
      </c>
    </row>
    <row r="22" customFormat="false" ht="15" hidden="false" customHeight="false" outlineLevel="0" collapsed="false">
      <c r="A22" s="6" t="n">
        <v>7</v>
      </c>
      <c r="B22" s="6" t="n">
        <v>2</v>
      </c>
      <c r="C22" s="6" t="s">
        <v>439</v>
      </c>
      <c r="D22" s="9" t="str">
        <f aca="false">IFERROR(INDEX(exercicio!$B$2:$B$190,MATCH(A22,exercicio!$A$2:$A$190,0)),"")</f>
        <v>Mergulho em Paralelas</v>
      </c>
      <c r="E22" s="9" t="str">
        <f aca="false">IFERROR(INDEX(grupo_muscular!$C$2:$C$50,MATCH(B22,grupo_muscular!$A$2:$A$50,0)),"")</f>
        <v>Deltoides</v>
      </c>
    </row>
    <row r="23" customFormat="false" ht="15" hidden="false" customHeight="false" outlineLevel="0" collapsed="false">
      <c r="A23" s="6" t="n">
        <v>8</v>
      </c>
      <c r="B23" s="6" t="n">
        <v>3</v>
      </c>
      <c r="C23" s="6" t="s">
        <v>438</v>
      </c>
      <c r="D23" s="9" t="str">
        <f aca="false">IFERROR(INDEX(exercicio!$B$2:$B$190,MATCH(A23,exercicio!$A$2:$A$190,0)),"")</f>
        <v>Flexão Diamante</v>
      </c>
      <c r="E23" s="9" t="str">
        <f aca="false">IFERROR(INDEX(grupo_muscular!$C$2:$C$50,MATCH(B23,grupo_muscular!$A$2:$A$50,0)),"")</f>
        <v>Tríceps</v>
      </c>
    </row>
    <row r="24" customFormat="false" ht="15" hidden="false" customHeight="false" outlineLevel="0" collapsed="false">
      <c r="A24" s="6" t="n">
        <v>8</v>
      </c>
      <c r="B24" s="6" t="n">
        <v>1</v>
      </c>
      <c r="C24" s="6" t="s">
        <v>439</v>
      </c>
      <c r="D24" s="9" t="str">
        <f aca="false">IFERROR(INDEX(exercicio!$B$2:$B$190,MATCH(A24,exercicio!$A$2:$A$190,0)),"")</f>
        <v>Flexão Diamante</v>
      </c>
      <c r="E24" s="9" t="str">
        <f aca="false">IFERROR(INDEX(grupo_muscular!$C$2:$C$50,MATCH(B24,grupo_muscular!$A$2:$A$50,0)),"")</f>
        <v>Peitoral</v>
      </c>
    </row>
    <row r="25" customFormat="false" ht="15" hidden="false" customHeight="false" outlineLevel="0" collapsed="false">
      <c r="A25" s="6" t="n">
        <v>8</v>
      </c>
      <c r="B25" s="6" t="n">
        <v>2</v>
      </c>
      <c r="C25" s="6" t="s">
        <v>439</v>
      </c>
      <c r="D25" s="9" t="str">
        <f aca="false">IFERROR(INDEX(exercicio!$B$2:$B$190,MATCH(A25,exercicio!$A$2:$A$190,0)),"")</f>
        <v>Flexão Diamante</v>
      </c>
      <c r="E25" s="9" t="str">
        <f aca="false">IFERROR(INDEX(grupo_muscular!$C$2:$C$50,MATCH(B25,grupo_muscular!$A$2:$A$50,0)),"")</f>
        <v>Deltoides</v>
      </c>
    </row>
    <row r="26" customFormat="false" ht="15" hidden="false" customHeight="false" outlineLevel="0" collapsed="false">
      <c r="A26" s="6" t="n">
        <v>9</v>
      </c>
      <c r="B26" s="6" t="n">
        <v>2</v>
      </c>
      <c r="C26" s="6" t="s">
        <v>438</v>
      </c>
      <c r="D26" s="9" t="str">
        <f aca="false">IFERROR(INDEX(exercicio!$B$2:$B$190,MATCH(A26,exercicio!$A$2:$A$190,0)),"")</f>
        <v>Flexão em Pique</v>
      </c>
      <c r="E26" s="9" t="str">
        <f aca="false">IFERROR(INDEX(grupo_muscular!$C$2:$C$50,MATCH(B26,grupo_muscular!$A$2:$A$50,0)),"")</f>
        <v>Deltoides</v>
      </c>
    </row>
    <row r="27" customFormat="false" ht="15" hidden="false" customHeight="false" outlineLevel="0" collapsed="false">
      <c r="A27" s="6" t="n">
        <v>9</v>
      </c>
      <c r="B27" s="6" t="n">
        <v>3</v>
      </c>
      <c r="C27" s="6" t="s">
        <v>439</v>
      </c>
      <c r="D27" s="9" t="str">
        <f aca="false">IFERROR(INDEX(exercicio!$B$2:$B$190,MATCH(A27,exercicio!$A$2:$A$190,0)),"")</f>
        <v>Flexão em Pique</v>
      </c>
      <c r="E27" s="9" t="str">
        <f aca="false">IFERROR(INDEX(grupo_muscular!$C$2:$C$50,MATCH(B27,grupo_muscular!$A$2:$A$50,0)),"")</f>
        <v>Tríceps</v>
      </c>
    </row>
    <row r="28" customFormat="false" ht="15" hidden="false" customHeight="false" outlineLevel="0" collapsed="false">
      <c r="A28" s="6" t="n">
        <v>10</v>
      </c>
      <c r="B28" s="6" t="n">
        <v>5</v>
      </c>
      <c r="C28" s="6" t="s">
        <v>438</v>
      </c>
      <c r="D28" s="9" t="str">
        <f aca="false">IFERROR(INDEX(exercicio!$B$2:$B$190,MATCH(A28,exercicio!$A$2:$A$190,0)),"")</f>
        <v>Flexão nas Pontas dos Dedos</v>
      </c>
      <c r="E28" s="9" t="str">
        <f aca="false">IFERROR(INDEX(grupo_muscular!$C$2:$C$50,MATCH(B28,grupo_muscular!$A$2:$A$50,0)),"")</f>
        <v>Antebraço</v>
      </c>
    </row>
    <row r="29" customFormat="false" ht="15" hidden="false" customHeight="false" outlineLevel="0" collapsed="false">
      <c r="A29" s="6" t="n">
        <v>10</v>
      </c>
      <c r="B29" s="6" t="n">
        <v>1</v>
      </c>
      <c r="C29" s="6" t="s">
        <v>439</v>
      </c>
      <c r="D29" s="9" t="str">
        <f aca="false">IFERROR(INDEX(exercicio!$B$2:$B$190,MATCH(A29,exercicio!$A$2:$A$190,0)),"")</f>
        <v>Flexão nas Pontas dos Dedos</v>
      </c>
      <c r="E29" s="9" t="str">
        <f aca="false">IFERROR(INDEX(grupo_muscular!$C$2:$C$50,MATCH(B29,grupo_muscular!$A$2:$A$50,0)),"")</f>
        <v>Peitoral</v>
      </c>
    </row>
    <row r="30" customFormat="false" ht="15" hidden="false" customHeight="false" outlineLevel="0" collapsed="false">
      <c r="A30" s="6" t="n">
        <v>10</v>
      </c>
      <c r="B30" s="6" t="n">
        <v>3</v>
      </c>
      <c r="C30" s="6" t="s">
        <v>439</v>
      </c>
      <c r="D30" s="9" t="str">
        <f aca="false">IFERROR(INDEX(exercicio!$B$2:$B$190,MATCH(A30,exercicio!$A$2:$A$190,0)),"")</f>
        <v>Flexão nas Pontas dos Dedos</v>
      </c>
      <c r="E30" s="9" t="str">
        <f aca="false">IFERROR(INDEX(grupo_muscular!$C$2:$C$50,MATCH(B30,grupo_muscular!$A$2:$A$50,0)),"")</f>
        <v>Tríceps</v>
      </c>
    </row>
    <row r="31" customFormat="false" ht="15" hidden="false" customHeight="false" outlineLevel="0" collapsed="false">
      <c r="A31" s="6" t="n">
        <v>11</v>
      </c>
      <c r="B31" s="6" t="n">
        <v>2</v>
      </c>
      <c r="C31" s="6" t="s">
        <v>438</v>
      </c>
      <c r="D31" s="9" t="str">
        <f aca="false">IFERROR(INDEX(exercicio!$B$2:$B$190,MATCH(A31,exercicio!$A$2:$A$190,0)),"")</f>
        <v>Desenvolvimento com Halteres</v>
      </c>
      <c r="E31" s="9" t="str">
        <f aca="false">IFERROR(INDEX(grupo_muscular!$C$2:$C$50,MATCH(B31,grupo_muscular!$A$2:$A$50,0)),"")</f>
        <v>Deltoides</v>
      </c>
    </row>
    <row r="32" customFormat="false" ht="15" hidden="false" customHeight="false" outlineLevel="0" collapsed="false">
      <c r="A32" s="6" t="n">
        <v>12</v>
      </c>
      <c r="B32" s="6" t="n">
        <v>2</v>
      </c>
      <c r="C32" s="6" t="s">
        <v>438</v>
      </c>
      <c r="D32" s="9" t="str">
        <f aca="false">IFERROR(INDEX(exercicio!$B$2:$B$190,MATCH(A32,exercicio!$A$2:$A$190,0)),"")</f>
        <v>Elevação Lateral no Cabo</v>
      </c>
      <c r="E32" s="9" t="str">
        <f aca="false">IFERROR(INDEX(grupo_muscular!$C$2:$C$50,MATCH(B32,grupo_muscular!$A$2:$A$50,0)),"")</f>
        <v>Deltoides</v>
      </c>
    </row>
    <row r="33" customFormat="false" ht="15" hidden="false" customHeight="false" outlineLevel="0" collapsed="false">
      <c r="A33" s="6" t="n">
        <v>13</v>
      </c>
      <c r="B33" s="6" t="n">
        <v>2</v>
      </c>
      <c r="C33" s="6" t="s">
        <v>438</v>
      </c>
      <c r="D33" s="9" t="str">
        <f aca="false">IFERROR(INDEX(exercicio!$B$2:$B$190,MATCH(A33,exercicio!$A$2:$A$190,0)),"")</f>
        <v>Elevação Lateral na Máquina</v>
      </c>
      <c r="E33" s="9" t="str">
        <f aca="false">IFERROR(INDEX(grupo_muscular!$C$2:$C$50,MATCH(B33,grupo_muscular!$A$2:$A$50,0)),"")</f>
        <v>Deltoides</v>
      </c>
    </row>
    <row r="34" customFormat="false" ht="15" hidden="false" customHeight="false" outlineLevel="0" collapsed="false">
      <c r="A34" s="6" t="n">
        <v>14</v>
      </c>
      <c r="B34" s="6" t="n">
        <v>2</v>
      </c>
      <c r="C34" s="6" t="s">
        <v>438</v>
      </c>
      <c r="D34" s="9" t="str">
        <f aca="false">IFERROR(INDEX(exercicio!$B$2:$B$190,MATCH(A34,exercicio!$A$2:$A$190,0)),"")</f>
        <v>Crucifixo Invertido na Polia</v>
      </c>
      <c r="E34" s="9" t="str">
        <f aca="false">IFERROR(INDEX(grupo_muscular!$C$2:$C$50,MATCH(B34,grupo_muscular!$A$2:$A$50,0)),"")</f>
        <v>Deltoides</v>
      </c>
    </row>
    <row r="35" customFormat="false" ht="15" hidden="false" customHeight="false" outlineLevel="0" collapsed="false">
      <c r="A35" s="6" t="n">
        <v>15</v>
      </c>
      <c r="B35" s="6" t="n">
        <v>2</v>
      </c>
      <c r="C35" s="6" t="s">
        <v>438</v>
      </c>
      <c r="D35" s="9" t="str">
        <f aca="false">IFERROR(INDEX(exercicio!$B$2:$B$190,MATCH(A35,exercicio!$A$2:$A$190,0)),"")</f>
        <v>Elevação Prona em T</v>
      </c>
      <c r="E35" s="9" t="str">
        <f aca="false">IFERROR(INDEX(grupo_muscular!$C$2:$C$50,MATCH(B35,grupo_muscular!$A$2:$A$50,0)),"")</f>
        <v>Deltoides</v>
      </c>
    </row>
    <row r="36" customFormat="false" ht="15" hidden="false" customHeight="false" outlineLevel="0" collapsed="false">
      <c r="A36" s="6" t="n">
        <v>15</v>
      </c>
      <c r="B36" s="6" t="n">
        <v>7</v>
      </c>
      <c r="C36" s="6" t="s">
        <v>439</v>
      </c>
      <c r="D36" s="9" t="str">
        <f aca="false">IFERROR(INDEX(exercicio!$B$2:$B$190,MATCH(A36,exercicio!$A$2:$A$190,0)),"")</f>
        <v>Elevação Prona em T</v>
      </c>
      <c r="E36" s="9" t="str">
        <f aca="false">IFERROR(INDEX(grupo_muscular!$C$2:$C$50,MATCH(B36,grupo_muscular!$A$2:$A$50,0)),"")</f>
        <v>Trapézio</v>
      </c>
    </row>
    <row r="37" customFormat="false" ht="15" hidden="false" customHeight="false" outlineLevel="0" collapsed="false">
      <c r="A37" s="6" t="n">
        <v>16</v>
      </c>
      <c r="B37" s="6" t="n">
        <v>2</v>
      </c>
      <c r="C37" s="6" t="s">
        <v>438</v>
      </c>
      <c r="D37" s="9" t="str">
        <f aca="false">IFERROR(INDEX(exercicio!$B$2:$B$190,MATCH(A37,exercicio!$A$2:$A$190,0)),"")</f>
        <v>Anjo da Neve Invertido</v>
      </c>
      <c r="E37" s="9" t="str">
        <f aca="false">IFERROR(INDEX(grupo_muscular!$C$2:$C$50,MATCH(B37,grupo_muscular!$A$2:$A$50,0)),"")</f>
        <v>Deltoides</v>
      </c>
    </row>
    <row r="38" customFormat="false" ht="15" hidden="false" customHeight="false" outlineLevel="0" collapsed="false">
      <c r="A38" s="6" t="n">
        <v>16</v>
      </c>
      <c r="B38" s="6" t="n">
        <v>7</v>
      </c>
      <c r="C38" s="6" t="s">
        <v>439</v>
      </c>
      <c r="D38" s="9" t="str">
        <f aca="false">IFERROR(INDEX(exercicio!$B$2:$B$190,MATCH(A38,exercicio!$A$2:$A$190,0)),"")</f>
        <v>Anjo da Neve Invertido</v>
      </c>
      <c r="E38" s="9" t="str">
        <f aca="false">IFERROR(INDEX(grupo_muscular!$C$2:$C$50,MATCH(B38,grupo_muscular!$A$2:$A$50,0)),"")</f>
        <v>Trapézio</v>
      </c>
    </row>
    <row r="39" customFormat="false" ht="15" hidden="false" customHeight="false" outlineLevel="0" collapsed="false">
      <c r="A39" s="6" t="n">
        <v>16</v>
      </c>
      <c r="B39" s="6" t="n">
        <v>8</v>
      </c>
      <c r="C39" s="6" t="s">
        <v>439</v>
      </c>
      <c r="D39" s="9" t="str">
        <f aca="false">IFERROR(INDEX(exercicio!$B$2:$B$190,MATCH(A39,exercicio!$A$2:$A$190,0)),"")</f>
        <v>Anjo da Neve Invertido</v>
      </c>
      <c r="E39" s="9" t="str">
        <f aca="false">IFERROR(INDEX(grupo_muscular!$C$2:$C$50,MATCH(B39,grupo_muscular!$A$2:$A$50,0)),"")</f>
        <v>Lombar</v>
      </c>
    </row>
    <row r="40" customFormat="false" ht="15" hidden="false" customHeight="false" outlineLevel="0" collapsed="false">
      <c r="A40" s="6" t="n">
        <v>17</v>
      </c>
      <c r="B40" s="6" t="n">
        <v>6</v>
      </c>
      <c r="C40" s="6" t="s">
        <v>438</v>
      </c>
      <c r="D40" s="9" t="str">
        <f aca="false">IFERROR(INDEX(exercicio!$B$2:$B$190,MATCH(A40,exercicio!$A$2:$A$190,0)),"")</f>
        <v>Puxada Alta</v>
      </c>
      <c r="E40" s="9" t="str">
        <f aca="false">IFERROR(INDEX(grupo_muscular!$C$2:$C$50,MATCH(B40,grupo_muscular!$A$2:$A$50,0)),"")</f>
        <v>Dorsal</v>
      </c>
    </row>
    <row r="41" customFormat="false" ht="15" hidden="false" customHeight="false" outlineLevel="0" collapsed="false">
      <c r="A41" s="6" t="n">
        <v>17</v>
      </c>
      <c r="B41" s="6" t="n">
        <v>4</v>
      </c>
      <c r="C41" s="6" t="s">
        <v>439</v>
      </c>
      <c r="D41" s="9" t="str">
        <f aca="false">IFERROR(INDEX(exercicio!$B$2:$B$190,MATCH(A41,exercicio!$A$2:$A$190,0)),"")</f>
        <v>Puxada Alta</v>
      </c>
      <c r="E41" s="9" t="str">
        <f aca="false">IFERROR(INDEX(grupo_muscular!$C$2:$C$50,MATCH(B41,grupo_muscular!$A$2:$A$50,0)),"")</f>
        <v>Bíceps</v>
      </c>
    </row>
    <row r="42" customFormat="false" ht="15" hidden="false" customHeight="false" outlineLevel="0" collapsed="false">
      <c r="A42" s="6" t="n">
        <v>17</v>
      </c>
      <c r="B42" s="6" t="n">
        <v>2</v>
      </c>
      <c r="C42" s="6" t="s">
        <v>439</v>
      </c>
      <c r="D42" s="9" t="str">
        <f aca="false">IFERROR(INDEX(exercicio!$B$2:$B$190,MATCH(A42,exercicio!$A$2:$A$190,0)),"")</f>
        <v>Puxada Alta</v>
      </c>
      <c r="E42" s="9" t="str">
        <f aca="false">IFERROR(INDEX(grupo_muscular!$C$2:$C$50,MATCH(B42,grupo_muscular!$A$2:$A$50,0)),"")</f>
        <v>Deltoides</v>
      </c>
    </row>
    <row r="43" customFormat="false" ht="15" hidden="false" customHeight="false" outlineLevel="0" collapsed="false">
      <c r="A43" s="6" t="n">
        <v>18</v>
      </c>
      <c r="B43" s="6" t="n">
        <v>6</v>
      </c>
      <c r="C43" s="6" t="s">
        <v>438</v>
      </c>
      <c r="D43" s="9" t="str">
        <f aca="false">IFERROR(INDEX(exercicio!$B$2:$B$190,MATCH(A43,exercicio!$A$2:$A$190,0)),"")</f>
        <v>Remada Baixa</v>
      </c>
      <c r="E43" s="9" t="str">
        <f aca="false">IFERROR(INDEX(grupo_muscular!$C$2:$C$50,MATCH(B43,grupo_muscular!$A$2:$A$50,0)),"")</f>
        <v>Dorsal</v>
      </c>
    </row>
    <row r="44" customFormat="false" ht="15" hidden="false" customHeight="false" outlineLevel="0" collapsed="false">
      <c r="A44" s="6" t="n">
        <v>18</v>
      </c>
      <c r="B44" s="6" t="n">
        <v>4</v>
      </c>
      <c r="C44" s="6" t="s">
        <v>439</v>
      </c>
      <c r="D44" s="9" t="str">
        <f aca="false">IFERROR(INDEX(exercicio!$B$2:$B$190,MATCH(A44,exercicio!$A$2:$A$190,0)),"")</f>
        <v>Remada Baixa</v>
      </c>
      <c r="E44" s="9" t="str">
        <f aca="false">IFERROR(INDEX(grupo_muscular!$C$2:$C$50,MATCH(B44,grupo_muscular!$A$2:$A$50,0)),"")</f>
        <v>Bíceps</v>
      </c>
    </row>
    <row r="45" customFormat="false" ht="15" hidden="false" customHeight="false" outlineLevel="0" collapsed="false">
      <c r="A45" s="6" t="n">
        <v>19</v>
      </c>
      <c r="B45" s="6" t="n">
        <v>6</v>
      </c>
      <c r="C45" s="6" t="s">
        <v>438</v>
      </c>
      <c r="D45" s="9" t="str">
        <f aca="false">IFERROR(INDEX(exercicio!$B$2:$B$190,MATCH(A45,exercicio!$A$2:$A$190,0)),"")</f>
        <v>Remada Unilateral Articulada</v>
      </c>
      <c r="E45" s="9" t="str">
        <f aca="false">IFERROR(INDEX(grupo_muscular!$C$2:$C$50,MATCH(B45,grupo_muscular!$A$2:$A$50,0)),"")</f>
        <v>Dorsal</v>
      </c>
    </row>
    <row r="46" customFormat="false" ht="15" hidden="false" customHeight="false" outlineLevel="0" collapsed="false">
      <c r="A46" s="6" t="n">
        <v>19</v>
      </c>
      <c r="B46" s="6" t="n">
        <v>4</v>
      </c>
      <c r="C46" s="6" t="s">
        <v>439</v>
      </c>
      <c r="D46" s="9" t="str">
        <f aca="false">IFERROR(INDEX(exercicio!$B$2:$B$190,MATCH(A46,exercicio!$A$2:$A$190,0)),"")</f>
        <v>Remada Unilateral Articulada</v>
      </c>
      <c r="E46" s="9" t="str">
        <f aca="false">IFERROR(INDEX(grupo_muscular!$C$2:$C$50,MATCH(B46,grupo_muscular!$A$2:$A$50,0)),"")</f>
        <v>Bíceps</v>
      </c>
    </row>
    <row r="47" customFormat="false" ht="15" hidden="false" customHeight="false" outlineLevel="0" collapsed="false">
      <c r="A47" s="6" t="n">
        <v>19</v>
      </c>
      <c r="B47" s="6" t="n">
        <v>2</v>
      </c>
      <c r="C47" s="6" t="s">
        <v>439</v>
      </c>
      <c r="D47" s="9" t="str">
        <f aca="false">IFERROR(INDEX(exercicio!$B$2:$B$190,MATCH(A47,exercicio!$A$2:$A$190,0)),"")</f>
        <v>Remada Unilateral Articulada</v>
      </c>
      <c r="E47" s="9" t="str">
        <f aca="false">IFERROR(INDEX(grupo_muscular!$C$2:$C$50,MATCH(B47,grupo_muscular!$A$2:$A$50,0)),"")</f>
        <v>Deltoides</v>
      </c>
    </row>
    <row r="48" customFormat="false" ht="15" hidden="false" customHeight="false" outlineLevel="0" collapsed="false">
      <c r="A48" s="6" t="n">
        <v>20</v>
      </c>
      <c r="B48" s="6" t="n">
        <v>6</v>
      </c>
      <c r="C48" s="6" t="s">
        <v>438</v>
      </c>
      <c r="D48" s="9" t="str">
        <f aca="false">IFERROR(INDEX(exercicio!$B$2:$B$190,MATCH(A48,exercicio!$A$2:$A$190,0)),"")</f>
        <v>Puxada Unilateral na Polia</v>
      </c>
      <c r="E48" s="9" t="str">
        <f aca="false">IFERROR(INDEX(grupo_muscular!$C$2:$C$50,MATCH(B48,grupo_muscular!$A$2:$A$50,0)),"")</f>
        <v>Dorsal</v>
      </c>
    </row>
    <row r="49" customFormat="false" ht="15" hidden="false" customHeight="false" outlineLevel="0" collapsed="false">
      <c r="A49" s="6" t="n">
        <v>20</v>
      </c>
      <c r="B49" s="6" t="n">
        <v>4</v>
      </c>
      <c r="C49" s="6" t="s">
        <v>439</v>
      </c>
      <c r="D49" s="9" t="str">
        <f aca="false">IFERROR(INDEX(exercicio!$B$2:$B$190,MATCH(A49,exercicio!$A$2:$A$190,0)),"")</f>
        <v>Puxada Unilateral na Polia</v>
      </c>
      <c r="E49" s="9" t="str">
        <f aca="false">IFERROR(INDEX(grupo_muscular!$C$2:$C$50,MATCH(B49,grupo_muscular!$A$2:$A$50,0)),"")</f>
        <v>Bíceps</v>
      </c>
    </row>
    <row r="50" customFormat="false" ht="15" hidden="false" customHeight="false" outlineLevel="0" collapsed="false">
      <c r="A50" s="6" t="n">
        <v>21</v>
      </c>
      <c r="B50" s="6" t="n">
        <v>6</v>
      </c>
      <c r="C50" s="6" t="s">
        <v>438</v>
      </c>
      <c r="D50" s="9" t="str">
        <f aca="false">IFERROR(INDEX(exercicio!$B$2:$B$190,MATCH(A50,exercicio!$A$2:$A$190,0)),"")</f>
        <v>Remada Invertida</v>
      </c>
      <c r="E50" s="9" t="str">
        <f aca="false">IFERROR(INDEX(grupo_muscular!$C$2:$C$50,MATCH(B50,grupo_muscular!$A$2:$A$50,0)),"")</f>
        <v>Dorsal</v>
      </c>
    </row>
    <row r="51" customFormat="false" ht="15" hidden="false" customHeight="false" outlineLevel="0" collapsed="false">
      <c r="A51" s="6" t="n">
        <v>21</v>
      </c>
      <c r="B51" s="6" t="n">
        <v>4</v>
      </c>
      <c r="C51" s="6" t="s">
        <v>439</v>
      </c>
      <c r="D51" s="9" t="str">
        <f aca="false">IFERROR(INDEX(exercicio!$B$2:$B$190,MATCH(A51,exercicio!$A$2:$A$190,0)),"")</f>
        <v>Remada Invertida</v>
      </c>
      <c r="E51" s="9" t="str">
        <f aca="false">IFERROR(INDEX(grupo_muscular!$C$2:$C$50,MATCH(B51,grupo_muscular!$A$2:$A$50,0)),"")</f>
        <v>Bíceps</v>
      </c>
    </row>
    <row r="52" customFormat="false" ht="15" hidden="false" customHeight="false" outlineLevel="0" collapsed="false">
      <c r="A52" s="6" t="n">
        <v>21</v>
      </c>
      <c r="B52" s="6" t="n">
        <v>7</v>
      </c>
      <c r="C52" s="6" t="s">
        <v>439</v>
      </c>
      <c r="D52" s="9" t="str">
        <f aca="false">IFERROR(INDEX(exercicio!$B$2:$B$190,MATCH(A52,exercicio!$A$2:$A$190,0)),"")</f>
        <v>Remada Invertida</v>
      </c>
      <c r="E52" s="9" t="str">
        <f aca="false">IFERROR(INDEX(grupo_muscular!$C$2:$C$50,MATCH(B52,grupo_muscular!$A$2:$A$50,0)),"")</f>
        <v>Trapézio</v>
      </c>
    </row>
    <row r="53" customFormat="false" ht="15" hidden="false" customHeight="false" outlineLevel="0" collapsed="false">
      <c r="A53" s="6" t="n">
        <v>22</v>
      </c>
      <c r="B53" s="6" t="n">
        <v>6</v>
      </c>
      <c r="C53" s="6" t="s">
        <v>438</v>
      </c>
      <c r="D53" s="9" t="str">
        <f aca="false">IFERROR(INDEX(exercicio!$B$2:$B$190,MATCH(A53,exercicio!$A$2:$A$190,0)),"")</f>
        <v>Barra Fixa</v>
      </c>
      <c r="E53" s="9" t="str">
        <f aca="false">IFERROR(INDEX(grupo_muscular!$C$2:$C$50,MATCH(B53,grupo_muscular!$A$2:$A$50,0)),"")</f>
        <v>Dorsal</v>
      </c>
    </row>
    <row r="54" customFormat="false" ht="15" hidden="false" customHeight="false" outlineLevel="0" collapsed="false">
      <c r="A54" s="6" t="n">
        <v>22</v>
      </c>
      <c r="B54" s="6" t="n">
        <v>4</v>
      </c>
      <c r="C54" s="6" t="s">
        <v>439</v>
      </c>
      <c r="D54" s="9" t="str">
        <f aca="false">IFERROR(INDEX(exercicio!$B$2:$B$190,MATCH(A54,exercicio!$A$2:$A$190,0)),"")</f>
        <v>Barra Fixa</v>
      </c>
      <c r="E54" s="9" t="str">
        <f aca="false">IFERROR(INDEX(grupo_muscular!$C$2:$C$50,MATCH(B54,grupo_muscular!$A$2:$A$50,0)),"")</f>
        <v>Bíceps</v>
      </c>
    </row>
    <row r="55" customFormat="false" ht="15" hidden="false" customHeight="false" outlineLevel="0" collapsed="false">
      <c r="A55" s="6" t="n">
        <v>22</v>
      </c>
      <c r="B55" s="6" t="n">
        <v>2</v>
      </c>
      <c r="C55" s="6" t="s">
        <v>439</v>
      </c>
      <c r="D55" s="9" t="str">
        <f aca="false">IFERROR(INDEX(exercicio!$B$2:$B$190,MATCH(A55,exercicio!$A$2:$A$190,0)),"")</f>
        <v>Barra Fixa</v>
      </c>
      <c r="E55" s="9" t="str">
        <f aca="false">IFERROR(INDEX(grupo_muscular!$C$2:$C$50,MATCH(B55,grupo_muscular!$A$2:$A$50,0)),"")</f>
        <v>Deltoides</v>
      </c>
    </row>
    <row r="56" customFormat="false" ht="15" hidden="false" customHeight="false" outlineLevel="0" collapsed="false">
      <c r="A56" s="6" t="n">
        <v>22</v>
      </c>
      <c r="B56" s="6" t="n">
        <v>7</v>
      </c>
      <c r="C56" s="6" t="s">
        <v>439</v>
      </c>
      <c r="D56" s="9" t="str">
        <f aca="false">IFERROR(INDEX(exercicio!$B$2:$B$190,MATCH(A56,exercicio!$A$2:$A$190,0)),"")</f>
        <v>Barra Fixa</v>
      </c>
      <c r="E56" s="9" t="str">
        <f aca="false">IFERROR(INDEX(grupo_muscular!$C$2:$C$50,MATCH(B56,grupo_muscular!$A$2:$A$50,0)),"")</f>
        <v>Trapézio</v>
      </c>
    </row>
    <row r="57" customFormat="false" ht="15" hidden="false" customHeight="false" outlineLevel="0" collapsed="false">
      <c r="A57" s="6" t="n">
        <v>22</v>
      </c>
      <c r="B57" s="6" t="n">
        <v>5</v>
      </c>
      <c r="C57" s="6" t="s">
        <v>439</v>
      </c>
      <c r="D57" s="9" t="str">
        <f aca="false">IFERROR(INDEX(exercicio!$B$2:$B$190,MATCH(A57,exercicio!$A$2:$A$190,0)),"")</f>
        <v>Barra Fixa</v>
      </c>
      <c r="E57" s="9" t="str">
        <f aca="false">IFERROR(INDEX(grupo_muscular!$C$2:$C$50,MATCH(B57,grupo_muscular!$A$2:$A$50,0)),"")</f>
        <v>Antebraço</v>
      </c>
    </row>
    <row r="58" customFormat="false" ht="15" hidden="false" customHeight="false" outlineLevel="0" collapsed="false">
      <c r="A58" s="6" t="n">
        <v>23</v>
      </c>
      <c r="B58" s="6" t="n">
        <v>7</v>
      </c>
      <c r="C58" s="6" t="s">
        <v>438</v>
      </c>
      <c r="D58" s="9" t="str">
        <f aca="false">IFERROR(INDEX(exercicio!$B$2:$B$190,MATCH(A58,exercicio!$A$2:$A$190,0)),"")</f>
        <v>Encolhimento com Halteres</v>
      </c>
      <c r="E58" s="9" t="str">
        <f aca="false">IFERROR(INDEX(grupo_muscular!$C$2:$C$50,MATCH(B58,grupo_muscular!$A$2:$A$50,0)),"")</f>
        <v>Trapézio</v>
      </c>
    </row>
    <row r="59" customFormat="false" ht="15" hidden="false" customHeight="false" outlineLevel="0" collapsed="false">
      <c r="A59" s="6" t="n">
        <v>23</v>
      </c>
      <c r="B59" s="6" t="n">
        <v>5</v>
      </c>
      <c r="C59" s="6" t="s">
        <v>439</v>
      </c>
      <c r="D59" s="9" t="str">
        <f aca="false">IFERROR(INDEX(exercicio!$B$2:$B$190,MATCH(A59,exercicio!$A$2:$A$190,0)),"")</f>
        <v>Encolhimento com Halteres</v>
      </c>
      <c r="E59" s="9" t="str">
        <f aca="false">IFERROR(INDEX(grupo_muscular!$C$2:$C$50,MATCH(B59,grupo_muscular!$A$2:$A$50,0)),"")</f>
        <v>Antebraço</v>
      </c>
    </row>
    <row r="60" customFormat="false" ht="15" hidden="false" customHeight="false" outlineLevel="0" collapsed="false">
      <c r="A60" s="6" t="n">
        <v>24</v>
      </c>
      <c r="B60" s="6" t="n">
        <v>7</v>
      </c>
      <c r="C60" s="6" t="s">
        <v>438</v>
      </c>
      <c r="D60" s="9" t="str">
        <f aca="false">IFERROR(INDEX(exercicio!$B$2:$B$190,MATCH(A60,exercicio!$A$2:$A$190,0)),"")</f>
        <v>Encolhimento com Barra</v>
      </c>
      <c r="E60" s="9" t="str">
        <f aca="false">IFERROR(INDEX(grupo_muscular!$C$2:$C$50,MATCH(B60,grupo_muscular!$A$2:$A$50,0)),"")</f>
        <v>Trapézio</v>
      </c>
    </row>
    <row r="61" customFormat="false" ht="15" hidden="false" customHeight="false" outlineLevel="0" collapsed="false">
      <c r="A61" s="6" t="n">
        <v>24</v>
      </c>
      <c r="B61" s="6" t="n">
        <v>5</v>
      </c>
      <c r="C61" s="6" t="s">
        <v>439</v>
      </c>
      <c r="D61" s="9" t="str">
        <f aca="false">IFERROR(INDEX(exercicio!$B$2:$B$190,MATCH(A61,exercicio!$A$2:$A$190,0)),"")</f>
        <v>Encolhimento com Barra</v>
      </c>
      <c r="E61" s="9" t="str">
        <f aca="false">IFERROR(INDEX(grupo_muscular!$C$2:$C$50,MATCH(B61,grupo_muscular!$A$2:$A$50,0)),"")</f>
        <v>Antebraço</v>
      </c>
    </row>
    <row r="62" customFormat="false" ht="15" hidden="false" customHeight="false" outlineLevel="0" collapsed="false">
      <c r="A62" s="6" t="n">
        <v>25</v>
      </c>
      <c r="B62" s="6" t="n">
        <v>7</v>
      </c>
      <c r="C62" s="6" t="s">
        <v>438</v>
      </c>
      <c r="D62" s="9" t="str">
        <f aca="false">IFERROR(INDEX(exercicio!$B$2:$B$190,MATCH(A62,exercicio!$A$2:$A$190,0)),"")</f>
        <v>Elevação Prona em Y</v>
      </c>
      <c r="E62" s="9" t="str">
        <f aca="false">IFERROR(INDEX(grupo_muscular!$C$2:$C$50,MATCH(B62,grupo_muscular!$A$2:$A$50,0)),"")</f>
        <v>Trapézio</v>
      </c>
    </row>
    <row r="63" customFormat="false" ht="15" hidden="false" customHeight="false" outlineLevel="0" collapsed="false">
      <c r="A63" s="6" t="n">
        <v>25</v>
      </c>
      <c r="B63" s="6" t="n">
        <v>2</v>
      </c>
      <c r="C63" s="6" t="s">
        <v>439</v>
      </c>
      <c r="D63" s="9" t="str">
        <f aca="false">IFERROR(INDEX(exercicio!$B$2:$B$190,MATCH(A63,exercicio!$A$2:$A$190,0)),"")</f>
        <v>Elevação Prona em Y</v>
      </c>
      <c r="E63" s="9" t="str">
        <f aca="false">IFERROR(INDEX(grupo_muscular!$C$2:$C$50,MATCH(B63,grupo_muscular!$A$2:$A$50,0)),"")</f>
        <v>Deltoides</v>
      </c>
    </row>
    <row r="64" customFormat="false" ht="15" hidden="false" customHeight="false" outlineLevel="0" collapsed="false">
      <c r="A64" s="6" t="n">
        <v>25</v>
      </c>
      <c r="B64" s="6" t="n">
        <v>8</v>
      </c>
      <c r="C64" s="6" t="s">
        <v>439</v>
      </c>
      <c r="D64" s="9" t="str">
        <f aca="false">IFERROR(INDEX(exercicio!$B$2:$B$190,MATCH(A64,exercicio!$A$2:$A$190,0)),"")</f>
        <v>Elevação Prona em Y</v>
      </c>
      <c r="E64" s="9" t="str">
        <f aca="false">IFERROR(INDEX(grupo_muscular!$C$2:$C$50,MATCH(B64,grupo_muscular!$A$2:$A$50,0)),"")</f>
        <v>Lombar</v>
      </c>
    </row>
    <row r="65" customFormat="false" ht="15" hidden="false" customHeight="false" outlineLevel="0" collapsed="false">
      <c r="A65" s="6" t="n">
        <v>26</v>
      </c>
      <c r="B65" s="6" t="n">
        <v>7</v>
      </c>
      <c r="C65" s="6" t="s">
        <v>438</v>
      </c>
      <c r="D65" s="9" t="str">
        <f aca="false">IFERROR(INDEX(exercicio!$B$2:$B$190,MATCH(A65,exercicio!$A$2:$A$190,0)),"")</f>
        <v>Anjo e Diabo Prono</v>
      </c>
      <c r="E65" s="9" t="str">
        <f aca="false">IFERROR(INDEX(grupo_muscular!$C$2:$C$50,MATCH(B65,grupo_muscular!$A$2:$A$50,0)),"")</f>
        <v>Trapézio</v>
      </c>
    </row>
    <row r="66" customFormat="false" ht="15" hidden="false" customHeight="false" outlineLevel="0" collapsed="false">
      <c r="A66" s="6" t="n">
        <v>26</v>
      </c>
      <c r="B66" s="6" t="n">
        <v>2</v>
      </c>
      <c r="C66" s="6" t="s">
        <v>439</v>
      </c>
      <c r="D66" s="9" t="str">
        <f aca="false">IFERROR(INDEX(exercicio!$B$2:$B$190,MATCH(A66,exercicio!$A$2:$A$190,0)),"")</f>
        <v>Anjo e Diabo Prono</v>
      </c>
      <c r="E66" s="9" t="str">
        <f aca="false">IFERROR(INDEX(grupo_muscular!$C$2:$C$50,MATCH(B66,grupo_muscular!$A$2:$A$50,0)),"")</f>
        <v>Deltoides</v>
      </c>
    </row>
    <row r="67" customFormat="false" ht="15" hidden="false" customHeight="false" outlineLevel="0" collapsed="false">
      <c r="A67" s="6" t="n">
        <v>26</v>
      </c>
      <c r="B67" s="6" t="n">
        <v>8</v>
      </c>
      <c r="C67" s="6" t="s">
        <v>439</v>
      </c>
      <c r="D67" s="9" t="str">
        <f aca="false">IFERROR(INDEX(exercicio!$B$2:$B$190,MATCH(A67,exercicio!$A$2:$A$190,0)),"")</f>
        <v>Anjo e Diabo Prono</v>
      </c>
      <c r="E67" s="9" t="str">
        <f aca="false">IFERROR(INDEX(grupo_muscular!$C$2:$C$50,MATCH(B67,grupo_muscular!$A$2:$A$50,0)),"")</f>
        <v>Lombar</v>
      </c>
    </row>
    <row r="68" customFormat="false" ht="15" hidden="false" customHeight="false" outlineLevel="0" collapsed="false">
      <c r="A68" s="6" t="n">
        <v>27</v>
      </c>
      <c r="B68" s="6" t="n">
        <v>8</v>
      </c>
      <c r="C68" s="6" t="s">
        <v>438</v>
      </c>
      <c r="D68" s="9" t="str">
        <f aca="false">IFERROR(INDEX(exercicio!$B$2:$B$190,MATCH(A68,exercicio!$A$2:$A$190,0)),"")</f>
        <v>Hiperextensão Lombar</v>
      </c>
      <c r="E68" s="9" t="str">
        <f aca="false">IFERROR(INDEX(grupo_muscular!$C$2:$C$50,MATCH(B68,grupo_muscular!$A$2:$A$50,0)),"")</f>
        <v>Lombar</v>
      </c>
    </row>
    <row r="69" customFormat="false" ht="15" hidden="false" customHeight="false" outlineLevel="0" collapsed="false">
      <c r="A69" s="6" t="n">
        <v>27</v>
      </c>
      <c r="B69" s="6" t="n">
        <v>12</v>
      </c>
      <c r="C69" s="6" t="s">
        <v>439</v>
      </c>
      <c r="D69" s="9" t="str">
        <f aca="false">IFERROR(INDEX(exercicio!$B$2:$B$190,MATCH(A69,exercicio!$A$2:$A$190,0)),"")</f>
        <v>Hiperextensão Lombar</v>
      </c>
      <c r="E69" s="9" t="str">
        <f aca="false">IFERROR(INDEX(grupo_muscular!$C$2:$C$50,MATCH(B69,grupo_muscular!$A$2:$A$50,0)),"")</f>
        <v>Glúteos</v>
      </c>
    </row>
    <row r="70" customFormat="false" ht="15" hidden="false" customHeight="false" outlineLevel="0" collapsed="false">
      <c r="A70" s="6" t="n">
        <v>27</v>
      </c>
      <c r="B70" s="6" t="n">
        <v>11</v>
      </c>
      <c r="C70" s="6" t="s">
        <v>439</v>
      </c>
      <c r="D70" s="9" t="str">
        <f aca="false">IFERROR(INDEX(exercicio!$B$2:$B$190,MATCH(A70,exercicio!$A$2:$A$190,0)),"")</f>
        <v>Hiperextensão Lombar</v>
      </c>
      <c r="E70" s="9" t="str">
        <f aca="false">IFERROR(INDEX(grupo_muscular!$C$2:$C$50,MATCH(B70,grupo_muscular!$A$2:$A$50,0)),"")</f>
        <v>Posterior de coxa</v>
      </c>
    </row>
    <row r="71" customFormat="false" ht="15" hidden="false" customHeight="false" outlineLevel="0" collapsed="false">
      <c r="A71" s="6" t="n">
        <v>28</v>
      </c>
      <c r="B71" s="6" t="n">
        <v>11</v>
      </c>
      <c r="C71" s="6" t="s">
        <v>438</v>
      </c>
      <c r="D71" s="9" t="str">
        <f aca="false">IFERROR(INDEX(exercicio!$B$2:$B$190,MATCH(A71,exercicio!$A$2:$A$190,0)),"")</f>
        <v>Good Morning</v>
      </c>
      <c r="E71" s="9" t="str">
        <f aca="false">IFERROR(INDEX(grupo_muscular!$C$2:$C$50,MATCH(B71,grupo_muscular!$A$2:$A$50,0)),"")</f>
        <v>Posterior de coxa</v>
      </c>
    </row>
    <row r="72" customFormat="false" ht="15" hidden="false" customHeight="false" outlineLevel="0" collapsed="false">
      <c r="A72" s="6" t="n">
        <v>28</v>
      </c>
      <c r="B72" s="6" t="n">
        <v>8</v>
      </c>
      <c r="C72" s="6" t="s">
        <v>439</v>
      </c>
      <c r="D72" s="9" t="str">
        <f aca="false">IFERROR(INDEX(exercicio!$B$2:$B$190,MATCH(A72,exercicio!$A$2:$A$190,0)),"")</f>
        <v>Good Morning</v>
      </c>
      <c r="E72" s="9" t="str">
        <f aca="false">IFERROR(INDEX(grupo_muscular!$C$2:$C$50,MATCH(B72,grupo_muscular!$A$2:$A$50,0)),"")</f>
        <v>Lombar</v>
      </c>
    </row>
    <row r="73" customFormat="false" ht="15" hidden="false" customHeight="false" outlineLevel="0" collapsed="false">
      <c r="A73" s="6" t="n">
        <v>28</v>
      </c>
      <c r="B73" s="6" t="n">
        <v>12</v>
      </c>
      <c r="C73" s="6" t="s">
        <v>439</v>
      </c>
      <c r="D73" s="9" t="str">
        <f aca="false">IFERROR(INDEX(exercicio!$B$2:$B$190,MATCH(A73,exercicio!$A$2:$A$190,0)),"")</f>
        <v>Good Morning</v>
      </c>
      <c r="E73" s="9" t="str">
        <f aca="false">IFERROR(INDEX(grupo_muscular!$C$2:$C$50,MATCH(B73,grupo_muscular!$A$2:$A$50,0)),"")</f>
        <v>Glúteos</v>
      </c>
    </row>
    <row r="74" customFormat="false" ht="15" hidden="false" customHeight="false" outlineLevel="0" collapsed="false">
      <c r="A74" s="6" t="n">
        <v>29</v>
      </c>
      <c r="B74" s="6" t="n">
        <v>8</v>
      </c>
      <c r="C74" s="6" t="s">
        <v>438</v>
      </c>
      <c r="D74" s="9" t="str">
        <f aca="false">IFERROR(INDEX(exercicio!$B$2:$B$190,MATCH(A74,exercicio!$A$2:$A$190,0)),"")</f>
        <v>Superman</v>
      </c>
      <c r="E74" s="9" t="str">
        <f aca="false">IFERROR(INDEX(grupo_muscular!$C$2:$C$50,MATCH(B74,grupo_muscular!$A$2:$A$50,0)),"")</f>
        <v>Lombar</v>
      </c>
    </row>
    <row r="75" customFormat="false" ht="15" hidden="false" customHeight="false" outlineLevel="0" collapsed="false">
      <c r="A75" s="6" t="n">
        <v>29</v>
      </c>
      <c r="B75" s="6" t="n">
        <v>12</v>
      </c>
      <c r="C75" s="6" t="s">
        <v>439</v>
      </c>
      <c r="D75" s="9" t="str">
        <f aca="false">IFERROR(INDEX(exercicio!$B$2:$B$190,MATCH(A75,exercicio!$A$2:$A$190,0)),"")</f>
        <v>Superman</v>
      </c>
      <c r="E75" s="9" t="str">
        <f aca="false">IFERROR(INDEX(grupo_muscular!$C$2:$C$50,MATCH(B75,grupo_muscular!$A$2:$A$50,0)),"")</f>
        <v>Glúteos</v>
      </c>
    </row>
    <row r="76" customFormat="false" ht="15" hidden="false" customHeight="false" outlineLevel="0" collapsed="false">
      <c r="A76" s="6" t="n">
        <v>29</v>
      </c>
      <c r="B76" s="6" t="n">
        <v>7</v>
      </c>
      <c r="C76" s="6" t="s">
        <v>439</v>
      </c>
      <c r="D76" s="9" t="str">
        <f aca="false">IFERROR(INDEX(exercicio!$B$2:$B$190,MATCH(A76,exercicio!$A$2:$A$190,0)),"")</f>
        <v>Superman</v>
      </c>
      <c r="E76" s="9" t="str">
        <f aca="false">IFERROR(INDEX(grupo_muscular!$C$2:$C$50,MATCH(B76,grupo_muscular!$A$2:$A$50,0)),"")</f>
        <v>Trapézio</v>
      </c>
    </row>
    <row r="77" customFormat="false" ht="15" hidden="false" customHeight="false" outlineLevel="0" collapsed="false">
      <c r="A77" s="6" t="n">
        <v>30</v>
      </c>
      <c r="B77" s="6" t="n">
        <v>4</v>
      </c>
      <c r="C77" s="6" t="s">
        <v>438</v>
      </c>
      <c r="D77" s="9" t="str">
        <f aca="false">IFERROR(INDEX(exercicio!$B$2:$B$190,MATCH(A77,exercicio!$A$2:$A$190,0)),"")</f>
        <v>Rosca Direta na Polia Baixa</v>
      </c>
      <c r="E77" s="9" t="str">
        <f aca="false">IFERROR(INDEX(grupo_muscular!$C$2:$C$50,MATCH(B77,grupo_muscular!$A$2:$A$50,0)),"")</f>
        <v>Bíceps</v>
      </c>
    </row>
    <row r="78" customFormat="false" ht="15" hidden="false" customHeight="false" outlineLevel="0" collapsed="false">
      <c r="A78" s="6" t="n">
        <v>30</v>
      </c>
      <c r="B78" s="6" t="n">
        <v>5</v>
      </c>
      <c r="C78" s="6" t="s">
        <v>439</v>
      </c>
      <c r="D78" s="9" t="str">
        <f aca="false">IFERROR(INDEX(exercicio!$B$2:$B$190,MATCH(A78,exercicio!$A$2:$A$190,0)),"")</f>
        <v>Rosca Direta na Polia Baixa</v>
      </c>
      <c r="E78" s="9" t="str">
        <f aca="false">IFERROR(INDEX(grupo_muscular!$C$2:$C$50,MATCH(B78,grupo_muscular!$A$2:$A$50,0)),"")</f>
        <v>Antebraço</v>
      </c>
    </row>
    <row r="79" customFormat="false" ht="15" hidden="false" customHeight="false" outlineLevel="0" collapsed="false">
      <c r="A79" s="6" t="n">
        <v>31</v>
      </c>
      <c r="B79" s="6" t="n">
        <v>4</v>
      </c>
      <c r="C79" s="6" t="s">
        <v>438</v>
      </c>
      <c r="D79" s="9" t="str">
        <f aca="false">IFERROR(INDEX(exercicio!$B$2:$B$190,MATCH(A79,exercicio!$A$2:$A$190,0)),"")</f>
        <v>Rosca Scott na Máquina</v>
      </c>
      <c r="E79" s="9" t="str">
        <f aca="false">IFERROR(INDEX(grupo_muscular!$C$2:$C$50,MATCH(B79,grupo_muscular!$A$2:$A$50,0)),"")</f>
        <v>Bíceps</v>
      </c>
    </row>
    <row r="80" customFormat="false" ht="15" hidden="false" customHeight="false" outlineLevel="0" collapsed="false">
      <c r="A80" s="6" t="n">
        <v>31</v>
      </c>
      <c r="B80" s="6" t="n">
        <v>5</v>
      </c>
      <c r="C80" s="6" t="s">
        <v>439</v>
      </c>
      <c r="D80" s="9" t="str">
        <f aca="false">IFERROR(INDEX(exercicio!$B$2:$B$190,MATCH(A80,exercicio!$A$2:$A$190,0)),"")</f>
        <v>Rosca Scott na Máquina</v>
      </c>
      <c r="E80" s="9" t="str">
        <f aca="false">IFERROR(INDEX(grupo_muscular!$C$2:$C$50,MATCH(B80,grupo_muscular!$A$2:$A$50,0)),"")</f>
        <v>Antebraço</v>
      </c>
    </row>
    <row r="81" customFormat="false" ht="15" hidden="false" customHeight="false" outlineLevel="0" collapsed="false">
      <c r="A81" s="6" t="n">
        <v>32</v>
      </c>
      <c r="B81" s="6" t="n">
        <v>4</v>
      </c>
      <c r="C81" s="6" t="s">
        <v>438</v>
      </c>
      <c r="D81" s="9" t="str">
        <f aca="false">IFERROR(INDEX(exercicio!$B$2:$B$190,MATCH(A81,exercicio!$A$2:$A$190,0)),"")</f>
        <v>Rosca Inclinada com Halteres</v>
      </c>
      <c r="E81" s="9" t="str">
        <f aca="false">IFERROR(INDEX(grupo_muscular!$C$2:$C$50,MATCH(B81,grupo_muscular!$A$2:$A$50,0)),"")</f>
        <v>Bíceps</v>
      </c>
    </row>
    <row r="82" customFormat="false" ht="15" hidden="false" customHeight="false" outlineLevel="0" collapsed="false">
      <c r="A82" s="6" t="n">
        <v>32</v>
      </c>
      <c r="B82" s="6" t="n">
        <v>5</v>
      </c>
      <c r="C82" s="6" t="s">
        <v>439</v>
      </c>
      <c r="D82" s="9" t="str">
        <f aca="false">IFERROR(INDEX(exercicio!$B$2:$B$190,MATCH(A82,exercicio!$A$2:$A$190,0)),"")</f>
        <v>Rosca Inclinada com Halteres</v>
      </c>
      <c r="E82" s="9" t="str">
        <f aca="false">IFERROR(INDEX(grupo_muscular!$C$2:$C$50,MATCH(B82,grupo_muscular!$A$2:$A$50,0)),"")</f>
        <v>Antebraço</v>
      </c>
    </row>
    <row r="83" customFormat="false" ht="15" hidden="false" customHeight="false" outlineLevel="0" collapsed="false">
      <c r="A83" s="6" t="n">
        <v>33</v>
      </c>
      <c r="B83" s="6" t="n">
        <v>4</v>
      </c>
      <c r="C83" s="6" t="s">
        <v>438</v>
      </c>
      <c r="D83" s="9" t="str">
        <f aca="false">IFERROR(INDEX(exercicio!$B$2:$B$190,MATCH(A83,exercicio!$A$2:$A$190,0)),"")</f>
        <v>Rosca Scott com Halteres</v>
      </c>
      <c r="E83" s="9" t="str">
        <f aca="false">IFERROR(INDEX(grupo_muscular!$C$2:$C$50,MATCH(B83,grupo_muscular!$A$2:$A$50,0)),"")</f>
        <v>Bíceps</v>
      </c>
    </row>
    <row r="84" customFormat="false" ht="15" hidden="false" customHeight="false" outlineLevel="0" collapsed="false">
      <c r="A84" s="6" t="n">
        <v>34</v>
      </c>
      <c r="B84" s="6" t="n">
        <v>4</v>
      </c>
      <c r="C84" s="6" t="s">
        <v>438</v>
      </c>
      <c r="D84" s="9" t="str">
        <f aca="false">IFERROR(INDEX(exercicio!$B$2:$B$190,MATCH(A84,exercicio!$A$2:$A$190,0)),"")</f>
        <v>Rosca de Bíceps com Autorresistência</v>
      </c>
      <c r="E84" s="9" t="str">
        <f aca="false">IFERROR(INDEX(grupo_muscular!$C$2:$C$50,MATCH(B84,grupo_muscular!$A$2:$A$50,0)),"")</f>
        <v>Bíceps</v>
      </c>
    </row>
    <row r="85" customFormat="false" ht="15" hidden="false" customHeight="false" outlineLevel="0" collapsed="false">
      <c r="A85" s="6" t="n">
        <v>35</v>
      </c>
      <c r="B85" s="6" t="n">
        <v>3</v>
      </c>
      <c r="C85" s="6" t="s">
        <v>438</v>
      </c>
      <c r="D85" s="9" t="str">
        <f aca="false">IFERROR(INDEX(exercicio!$B$2:$B$190,MATCH(A85,exercicio!$A$2:$A$190,0)),"")</f>
        <v>Tríceps Pulley</v>
      </c>
      <c r="E85" s="9" t="str">
        <f aca="false">IFERROR(INDEX(grupo_muscular!$C$2:$C$50,MATCH(B85,grupo_muscular!$A$2:$A$50,0)),"")</f>
        <v>Tríceps</v>
      </c>
    </row>
    <row r="86" customFormat="false" ht="15" hidden="false" customHeight="false" outlineLevel="0" collapsed="false">
      <c r="A86" s="6" t="n">
        <v>36</v>
      </c>
      <c r="B86" s="6" t="n">
        <v>3</v>
      </c>
      <c r="C86" s="6" t="s">
        <v>438</v>
      </c>
      <c r="D86" s="9" t="str">
        <f aca="false">IFERROR(INDEX(exercicio!$B$2:$B$190,MATCH(A86,exercicio!$A$2:$A$190,0)),"")</f>
        <v>Tríceps Testa na Polia</v>
      </c>
      <c r="E86" s="9" t="str">
        <f aca="false">IFERROR(INDEX(grupo_muscular!$C$2:$C$50,MATCH(B86,grupo_muscular!$A$2:$A$50,0)),"")</f>
        <v>Tríceps</v>
      </c>
    </row>
    <row r="87" customFormat="false" ht="15" hidden="false" customHeight="false" outlineLevel="0" collapsed="false">
      <c r="A87" s="6" t="n">
        <v>37</v>
      </c>
      <c r="B87" s="6" t="n">
        <v>3</v>
      </c>
      <c r="C87" s="6" t="s">
        <v>438</v>
      </c>
      <c r="D87" s="9" t="str">
        <f aca="false">IFERROR(INDEX(exercicio!$B$2:$B$190,MATCH(A87,exercicio!$A$2:$A$190,0)),"")</f>
        <v>Tríceps Francês na Polia</v>
      </c>
      <c r="E87" s="9" t="str">
        <f aca="false">IFERROR(INDEX(grupo_muscular!$C$2:$C$50,MATCH(B87,grupo_muscular!$A$2:$A$50,0)),"")</f>
        <v>Tríceps</v>
      </c>
    </row>
    <row r="88" customFormat="false" ht="15" hidden="false" customHeight="false" outlineLevel="0" collapsed="false">
      <c r="A88" s="6" t="n">
        <v>38</v>
      </c>
      <c r="B88" s="6" t="n">
        <v>5</v>
      </c>
      <c r="C88" s="6" t="s">
        <v>438</v>
      </c>
      <c r="D88" s="9" t="str">
        <f aca="false">IFERROR(INDEX(exercicio!$B$2:$B$190,MATCH(A88,exercicio!$A$2:$A$190,0)),"")</f>
        <v>Rosca de Punho com Halteres</v>
      </c>
      <c r="E88" s="9" t="str">
        <f aca="false">IFERROR(INDEX(grupo_muscular!$C$2:$C$50,MATCH(B88,grupo_muscular!$A$2:$A$50,0)),"")</f>
        <v>Antebraço</v>
      </c>
    </row>
    <row r="89" customFormat="false" ht="15" hidden="false" customHeight="false" outlineLevel="0" collapsed="false">
      <c r="A89" s="6" t="n">
        <v>39</v>
      </c>
      <c r="B89" s="6" t="n">
        <v>5</v>
      </c>
      <c r="C89" s="6" t="s">
        <v>438</v>
      </c>
      <c r="D89" s="9" t="str">
        <f aca="false">IFERROR(INDEX(exercicio!$B$2:$B$190,MATCH(A89,exercicio!$A$2:$A$190,0)),"")</f>
        <v>Rosca de Punho com Barra</v>
      </c>
      <c r="E89" s="9" t="str">
        <f aca="false">IFERROR(INDEX(grupo_muscular!$C$2:$C$50,MATCH(B89,grupo_muscular!$A$2:$A$50,0)),"")</f>
        <v>Antebraço</v>
      </c>
    </row>
    <row r="90" customFormat="false" ht="15" hidden="false" customHeight="false" outlineLevel="0" collapsed="false">
      <c r="A90" s="6" t="n">
        <v>40</v>
      </c>
      <c r="B90" s="6" t="n">
        <v>5</v>
      </c>
      <c r="C90" s="6" t="s">
        <v>438</v>
      </c>
      <c r="D90" s="9" t="str">
        <f aca="false">IFERROR(INDEX(exercicio!$B$2:$B$190,MATCH(A90,exercicio!$A$2:$A$190,0)),"")</f>
        <v>Rosca de Punho Reversa com Halteres</v>
      </c>
      <c r="E90" s="9" t="str">
        <f aca="false">IFERROR(INDEX(grupo_muscular!$C$2:$C$50,MATCH(B90,grupo_muscular!$A$2:$A$50,0)),"")</f>
        <v>Antebraço</v>
      </c>
    </row>
    <row r="91" customFormat="false" ht="15" hidden="false" customHeight="false" outlineLevel="0" collapsed="false">
      <c r="A91" s="6" t="n">
        <v>41</v>
      </c>
      <c r="B91" s="6" t="n">
        <v>5</v>
      </c>
      <c r="C91" s="6" t="s">
        <v>438</v>
      </c>
      <c r="D91" s="9" t="str">
        <f aca="false">IFERROR(INDEX(exercicio!$B$2:$B$190,MATCH(A91,exercicio!$A$2:$A$190,0)),"")</f>
        <v>Suspensão na Barra</v>
      </c>
      <c r="E91" s="9" t="str">
        <f aca="false">IFERROR(INDEX(grupo_muscular!$C$2:$C$50,MATCH(B91,grupo_muscular!$A$2:$A$50,0)),"")</f>
        <v>Antebraço</v>
      </c>
    </row>
    <row r="92" customFormat="false" ht="15" hidden="false" customHeight="false" outlineLevel="0" collapsed="false">
      <c r="A92" s="6" t="n">
        <v>41</v>
      </c>
      <c r="B92" s="6" t="n">
        <v>6</v>
      </c>
      <c r="C92" s="6" t="s">
        <v>439</v>
      </c>
      <c r="D92" s="9" t="str">
        <f aca="false">IFERROR(INDEX(exercicio!$B$2:$B$190,MATCH(A92,exercicio!$A$2:$A$190,0)),"")</f>
        <v>Suspensão na Barra</v>
      </c>
      <c r="E92" s="9" t="str">
        <f aca="false">IFERROR(INDEX(grupo_muscular!$C$2:$C$50,MATCH(B92,grupo_muscular!$A$2:$A$50,0)),"")</f>
        <v>Dorsal</v>
      </c>
    </row>
    <row r="93" customFormat="false" ht="15" hidden="false" customHeight="false" outlineLevel="0" collapsed="false">
      <c r="A93" s="6" t="n">
        <v>42</v>
      </c>
      <c r="B93" s="6" t="n">
        <v>5</v>
      </c>
      <c r="C93" s="6" t="s">
        <v>438</v>
      </c>
      <c r="D93" s="9" t="str">
        <f aca="false">IFERROR(INDEX(exercicio!$B$2:$B$190,MATCH(A93,exercicio!$A$2:$A$190,0)),"")</f>
        <v>Caminhada do Fazendeiro</v>
      </c>
      <c r="E93" s="9" t="str">
        <f aca="false">IFERROR(INDEX(grupo_muscular!$C$2:$C$50,MATCH(B93,grupo_muscular!$A$2:$A$50,0)),"")</f>
        <v>Antebraço</v>
      </c>
    </row>
    <row r="94" customFormat="false" ht="15" hidden="false" customHeight="false" outlineLevel="0" collapsed="false">
      <c r="A94" s="6" t="n">
        <v>42</v>
      </c>
      <c r="B94" s="6" t="n">
        <v>7</v>
      </c>
      <c r="C94" s="6" t="s">
        <v>439</v>
      </c>
      <c r="D94" s="9" t="str">
        <f aca="false">IFERROR(INDEX(exercicio!$B$2:$B$190,MATCH(A94,exercicio!$A$2:$A$190,0)),"")</f>
        <v>Caminhada do Fazendeiro</v>
      </c>
      <c r="E94" s="9" t="str">
        <f aca="false">IFERROR(INDEX(grupo_muscular!$C$2:$C$50,MATCH(B94,grupo_muscular!$A$2:$A$50,0)),"")</f>
        <v>Trapézio</v>
      </c>
    </row>
    <row r="95" customFormat="false" ht="15" hidden="false" customHeight="false" outlineLevel="0" collapsed="false">
      <c r="A95" s="6" t="n">
        <v>42</v>
      </c>
      <c r="B95" s="6" t="n">
        <v>9</v>
      </c>
      <c r="C95" s="6" t="s">
        <v>439</v>
      </c>
      <c r="D95" s="9" t="str">
        <f aca="false">IFERROR(INDEX(exercicio!$B$2:$B$190,MATCH(A95,exercicio!$A$2:$A$190,0)),"")</f>
        <v>Caminhada do Fazendeiro</v>
      </c>
      <c r="E95" s="9" t="str">
        <f aca="false">IFERROR(INDEX(grupo_muscular!$C$2:$C$50,MATCH(B95,grupo_muscular!$A$2:$A$50,0)),"")</f>
        <v>Abdômen</v>
      </c>
    </row>
    <row r="96" customFormat="false" ht="15" hidden="false" customHeight="false" outlineLevel="0" collapsed="false">
      <c r="A96" s="6" t="n">
        <v>43</v>
      </c>
      <c r="B96" s="6" t="n">
        <v>10</v>
      </c>
      <c r="C96" s="6" t="s">
        <v>438</v>
      </c>
      <c r="D96" s="9" t="str">
        <f aca="false">IFERROR(INDEX(exercicio!$B$2:$B$190,MATCH(A96,exercicio!$A$2:$A$190,0)),"")</f>
        <v>Cadeira Extensora</v>
      </c>
      <c r="E96" s="9" t="str">
        <f aca="false">IFERROR(INDEX(grupo_muscular!$C$2:$C$50,MATCH(B96,grupo_muscular!$A$2:$A$50,0)),"")</f>
        <v>Quadríceps</v>
      </c>
    </row>
    <row r="97" customFormat="false" ht="15" hidden="false" customHeight="false" outlineLevel="0" collapsed="false">
      <c r="A97" s="6" t="n">
        <v>44</v>
      </c>
      <c r="B97" s="6" t="n">
        <v>10</v>
      </c>
      <c r="C97" s="6" t="s">
        <v>438</v>
      </c>
      <c r="D97" s="9" t="str">
        <f aca="false">IFERROR(INDEX(exercicio!$B$2:$B$190,MATCH(A97,exercicio!$A$2:$A$190,0)),"")</f>
        <v>Leg Press</v>
      </c>
      <c r="E97" s="9" t="str">
        <f aca="false">IFERROR(INDEX(grupo_muscular!$C$2:$C$50,MATCH(B97,grupo_muscular!$A$2:$A$50,0)),"")</f>
        <v>Quadríceps</v>
      </c>
    </row>
    <row r="98" customFormat="false" ht="15" hidden="false" customHeight="false" outlineLevel="0" collapsed="false">
      <c r="A98" s="6" t="n">
        <v>44</v>
      </c>
      <c r="B98" s="6" t="n">
        <v>12</v>
      </c>
      <c r="C98" s="6" t="s">
        <v>439</v>
      </c>
      <c r="D98" s="9" t="str">
        <f aca="false">IFERROR(INDEX(exercicio!$B$2:$B$190,MATCH(A98,exercicio!$A$2:$A$190,0)),"")</f>
        <v>Leg Press</v>
      </c>
      <c r="E98" s="9" t="str">
        <f aca="false">IFERROR(INDEX(grupo_muscular!$C$2:$C$50,MATCH(B98,grupo_muscular!$A$2:$A$50,0)),"")</f>
        <v>Glúteos</v>
      </c>
    </row>
    <row r="99" customFormat="false" ht="15" hidden="false" customHeight="false" outlineLevel="0" collapsed="false">
      <c r="A99" s="6" t="n">
        <v>44</v>
      </c>
      <c r="B99" s="6" t="n">
        <v>14</v>
      </c>
      <c r="C99" s="6" t="s">
        <v>439</v>
      </c>
      <c r="D99" s="9" t="str">
        <f aca="false">IFERROR(INDEX(exercicio!$B$2:$B$190,MATCH(A99,exercicio!$A$2:$A$190,0)),"")</f>
        <v>Leg Press</v>
      </c>
      <c r="E99" s="9" t="str">
        <f aca="false">IFERROR(INDEX(grupo_muscular!$C$2:$C$50,MATCH(B99,grupo_muscular!$A$2:$A$50,0)),"")</f>
        <v>Adutores</v>
      </c>
    </row>
    <row r="100" customFormat="false" ht="15" hidden="false" customHeight="false" outlineLevel="0" collapsed="false">
      <c r="A100" s="6" t="n">
        <v>44</v>
      </c>
      <c r="B100" s="6" t="n">
        <v>11</v>
      </c>
      <c r="C100" s="6" t="s">
        <v>439</v>
      </c>
      <c r="D100" s="9" t="str">
        <f aca="false">IFERROR(INDEX(exercicio!$B$2:$B$190,MATCH(A100,exercicio!$A$2:$A$190,0)),"")</f>
        <v>Leg Press</v>
      </c>
      <c r="E100" s="9" t="str">
        <f aca="false">IFERROR(INDEX(grupo_muscular!$C$2:$C$50,MATCH(B100,grupo_muscular!$A$2:$A$50,0)),"")</f>
        <v>Posterior de coxa</v>
      </c>
    </row>
    <row r="101" customFormat="false" ht="15" hidden="false" customHeight="false" outlineLevel="0" collapsed="false">
      <c r="A101" s="6" t="n">
        <v>45</v>
      </c>
      <c r="B101" s="6" t="n">
        <v>10</v>
      </c>
      <c r="C101" s="6" t="s">
        <v>438</v>
      </c>
      <c r="D101" s="9" t="str">
        <f aca="false">IFERROR(INDEX(exercicio!$B$2:$B$190,MATCH(A101,exercicio!$A$2:$A$190,0)),"")</f>
        <v>Agachamento Livre com Barra</v>
      </c>
      <c r="E101" s="9" t="str">
        <f aca="false">IFERROR(INDEX(grupo_muscular!$C$2:$C$50,MATCH(B101,grupo_muscular!$A$2:$A$50,0)),"")</f>
        <v>Quadríceps</v>
      </c>
    </row>
    <row r="102" customFormat="false" ht="15" hidden="false" customHeight="false" outlineLevel="0" collapsed="false">
      <c r="A102" s="6" t="n">
        <v>45</v>
      </c>
      <c r="B102" s="6" t="n">
        <v>12</v>
      </c>
      <c r="C102" s="6" t="s">
        <v>439</v>
      </c>
      <c r="D102" s="9" t="str">
        <f aca="false">IFERROR(INDEX(exercicio!$B$2:$B$190,MATCH(A102,exercicio!$A$2:$A$190,0)),"")</f>
        <v>Agachamento Livre com Barra</v>
      </c>
      <c r="E102" s="9" t="str">
        <f aca="false">IFERROR(INDEX(grupo_muscular!$C$2:$C$50,MATCH(B102,grupo_muscular!$A$2:$A$50,0)),"")</f>
        <v>Glúteos</v>
      </c>
    </row>
    <row r="103" customFormat="false" ht="15" hidden="false" customHeight="false" outlineLevel="0" collapsed="false">
      <c r="A103" s="6" t="n">
        <v>45</v>
      </c>
      <c r="B103" s="6" t="n">
        <v>14</v>
      </c>
      <c r="C103" s="6" t="s">
        <v>439</v>
      </c>
      <c r="D103" s="9" t="str">
        <f aca="false">IFERROR(INDEX(exercicio!$B$2:$B$190,MATCH(A103,exercicio!$A$2:$A$190,0)),"")</f>
        <v>Agachamento Livre com Barra</v>
      </c>
      <c r="E103" s="9" t="str">
        <f aca="false">IFERROR(INDEX(grupo_muscular!$C$2:$C$50,MATCH(B103,grupo_muscular!$A$2:$A$50,0)),"")</f>
        <v>Adutores</v>
      </c>
    </row>
    <row r="104" customFormat="false" ht="15" hidden="false" customHeight="false" outlineLevel="0" collapsed="false">
      <c r="A104" s="6" t="n">
        <v>45</v>
      </c>
      <c r="B104" s="6" t="n">
        <v>8</v>
      </c>
      <c r="C104" s="6" t="s">
        <v>439</v>
      </c>
      <c r="D104" s="9" t="str">
        <f aca="false">IFERROR(INDEX(exercicio!$B$2:$B$190,MATCH(A104,exercicio!$A$2:$A$190,0)),"")</f>
        <v>Agachamento Livre com Barra</v>
      </c>
      <c r="E104" s="9" t="str">
        <f aca="false">IFERROR(INDEX(grupo_muscular!$C$2:$C$50,MATCH(B104,grupo_muscular!$A$2:$A$50,0)),"")</f>
        <v>Lombar</v>
      </c>
    </row>
    <row r="105" customFormat="false" ht="15" hidden="false" customHeight="false" outlineLevel="0" collapsed="false">
      <c r="A105" s="6" t="n">
        <v>46</v>
      </c>
      <c r="B105" s="6" t="n">
        <v>10</v>
      </c>
      <c r="C105" s="6" t="s">
        <v>438</v>
      </c>
      <c r="D105" s="9" t="str">
        <f aca="false">IFERROR(INDEX(exercicio!$B$2:$B$190,MATCH(A105,exercicio!$A$2:$A$190,0)),"")</f>
        <v>Agachamento com Peso do Corpo</v>
      </c>
      <c r="E105" s="9" t="str">
        <f aca="false">IFERROR(INDEX(grupo_muscular!$C$2:$C$50,MATCH(B105,grupo_muscular!$A$2:$A$50,0)),"")</f>
        <v>Quadríceps</v>
      </c>
    </row>
    <row r="106" customFormat="false" ht="15" hidden="false" customHeight="false" outlineLevel="0" collapsed="false">
      <c r="A106" s="6" t="n">
        <v>46</v>
      </c>
      <c r="B106" s="6" t="n">
        <v>12</v>
      </c>
      <c r="C106" s="6" t="s">
        <v>439</v>
      </c>
      <c r="D106" s="9" t="str">
        <f aca="false">IFERROR(INDEX(exercicio!$B$2:$B$190,MATCH(A106,exercicio!$A$2:$A$190,0)),"")</f>
        <v>Agachamento com Peso do Corpo</v>
      </c>
      <c r="E106" s="9" t="str">
        <f aca="false">IFERROR(INDEX(grupo_muscular!$C$2:$C$50,MATCH(B106,grupo_muscular!$A$2:$A$50,0)),"")</f>
        <v>Glúteos</v>
      </c>
    </row>
    <row r="107" customFormat="false" ht="15" hidden="false" customHeight="false" outlineLevel="0" collapsed="false">
      <c r="A107" s="6" t="n">
        <v>47</v>
      </c>
      <c r="B107" s="6" t="n">
        <v>10</v>
      </c>
      <c r="C107" s="6" t="s">
        <v>438</v>
      </c>
      <c r="D107" s="9" t="str">
        <f aca="false">IFERROR(INDEX(exercicio!$B$2:$B$190,MATCH(A107,exercicio!$A$2:$A$190,0)),"")</f>
        <v>Afundo</v>
      </c>
      <c r="E107" s="9" t="str">
        <f aca="false">IFERROR(INDEX(grupo_muscular!$C$2:$C$50,MATCH(B107,grupo_muscular!$A$2:$A$50,0)),"")</f>
        <v>Quadríceps</v>
      </c>
    </row>
    <row r="108" customFormat="false" ht="15" hidden="false" customHeight="false" outlineLevel="0" collapsed="false">
      <c r="A108" s="6" t="n">
        <v>47</v>
      </c>
      <c r="B108" s="6" t="n">
        <v>12</v>
      </c>
      <c r="C108" s="6" t="s">
        <v>439</v>
      </c>
      <c r="D108" s="9" t="str">
        <f aca="false">IFERROR(INDEX(exercicio!$B$2:$B$190,MATCH(A108,exercicio!$A$2:$A$190,0)),"")</f>
        <v>Afundo</v>
      </c>
      <c r="E108" s="9" t="str">
        <f aca="false">IFERROR(INDEX(grupo_muscular!$C$2:$C$50,MATCH(B108,grupo_muscular!$A$2:$A$50,0)),"")</f>
        <v>Glúteos</v>
      </c>
    </row>
    <row r="109" customFormat="false" ht="15" hidden="false" customHeight="false" outlineLevel="0" collapsed="false">
      <c r="A109" s="6" t="n">
        <v>47</v>
      </c>
      <c r="B109" s="6" t="n">
        <v>11</v>
      </c>
      <c r="C109" s="6" t="s">
        <v>439</v>
      </c>
      <c r="D109" s="9" t="str">
        <f aca="false">IFERROR(INDEX(exercicio!$B$2:$B$190,MATCH(A109,exercicio!$A$2:$A$190,0)),"")</f>
        <v>Afundo</v>
      </c>
      <c r="E109" s="9" t="str">
        <f aca="false">IFERROR(INDEX(grupo_muscular!$C$2:$C$50,MATCH(B109,grupo_muscular!$A$2:$A$50,0)),"")</f>
        <v>Posterior de coxa</v>
      </c>
    </row>
    <row r="110" customFormat="false" ht="15" hidden="false" customHeight="false" outlineLevel="0" collapsed="false">
      <c r="A110" s="6" t="n">
        <v>48</v>
      </c>
      <c r="B110" s="6" t="n">
        <v>10</v>
      </c>
      <c r="C110" s="6" t="s">
        <v>438</v>
      </c>
      <c r="D110" s="9" t="str">
        <f aca="false">IFERROR(INDEX(exercicio!$B$2:$B$190,MATCH(A110,exercicio!$A$2:$A$190,0)),"")</f>
        <v>Agachamento Búlgaro</v>
      </c>
      <c r="E110" s="9" t="str">
        <f aca="false">IFERROR(INDEX(grupo_muscular!$C$2:$C$50,MATCH(B110,grupo_muscular!$A$2:$A$50,0)),"")</f>
        <v>Quadríceps</v>
      </c>
    </row>
    <row r="111" customFormat="false" ht="15" hidden="false" customHeight="false" outlineLevel="0" collapsed="false">
      <c r="A111" s="6" t="n">
        <v>48</v>
      </c>
      <c r="B111" s="6" t="n">
        <v>12</v>
      </c>
      <c r="C111" s="6" t="s">
        <v>439</v>
      </c>
      <c r="D111" s="9" t="str">
        <f aca="false">IFERROR(INDEX(exercicio!$B$2:$B$190,MATCH(A111,exercicio!$A$2:$A$190,0)),"")</f>
        <v>Agachamento Búlgaro</v>
      </c>
      <c r="E111" s="9" t="str">
        <f aca="false">IFERROR(INDEX(grupo_muscular!$C$2:$C$50,MATCH(B111,grupo_muscular!$A$2:$A$50,0)),"")</f>
        <v>Glúteos</v>
      </c>
    </row>
    <row r="112" customFormat="false" ht="15" hidden="false" customHeight="false" outlineLevel="0" collapsed="false">
      <c r="A112" s="6" t="n">
        <v>49</v>
      </c>
      <c r="B112" s="6" t="n">
        <v>11</v>
      </c>
      <c r="C112" s="6" t="s">
        <v>438</v>
      </c>
      <c r="D112" s="9" t="str">
        <f aca="false">IFERROR(INDEX(exercicio!$B$2:$B$190,MATCH(A112,exercicio!$A$2:$A$190,0)),"")</f>
        <v>Cadeira Flexora</v>
      </c>
      <c r="E112" s="9" t="str">
        <f aca="false">IFERROR(INDEX(grupo_muscular!$C$2:$C$50,MATCH(B112,grupo_muscular!$A$2:$A$50,0)),"")</f>
        <v>Posterior de coxa</v>
      </c>
    </row>
    <row r="113" customFormat="false" ht="15" hidden="false" customHeight="false" outlineLevel="0" collapsed="false">
      <c r="A113" s="6" t="n">
        <v>50</v>
      </c>
      <c r="B113" s="6" t="n">
        <v>11</v>
      </c>
      <c r="C113" s="6" t="s">
        <v>438</v>
      </c>
      <c r="D113" s="9" t="str">
        <f aca="false">IFERROR(INDEX(exercicio!$B$2:$B$190,MATCH(A113,exercicio!$A$2:$A$190,0)),"")</f>
        <v>Stiff</v>
      </c>
      <c r="E113" s="9" t="str">
        <f aca="false">IFERROR(INDEX(grupo_muscular!$C$2:$C$50,MATCH(B113,grupo_muscular!$A$2:$A$50,0)),"")</f>
        <v>Posterior de coxa</v>
      </c>
    </row>
    <row r="114" customFormat="false" ht="15" hidden="false" customHeight="false" outlineLevel="0" collapsed="false">
      <c r="A114" s="6" t="n">
        <v>50</v>
      </c>
      <c r="B114" s="6" t="n">
        <v>12</v>
      </c>
      <c r="C114" s="6" t="s">
        <v>439</v>
      </c>
      <c r="D114" s="9" t="str">
        <f aca="false">IFERROR(INDEX(exercicio!$B$2:$B$190,MATCH(A114,exercicio!$A$2:$A$190,0)),"")</f>
        <v>Stiff</v>
      </c>
      <c r="E114" s="9" t="str">
        <f aca="false">IFERROR(INDEX(grupo_muscular!$C$2:$C$50,MATCH(B114,grupo_muscular!$A$2:$A$50,0)),"")</f>
        <v>Glúteos</v>
      </c>
    </row>
    <row r="115" customFormat="false" ht="15" hidden="false" customHeight="false" outlineLevel="0" collapsed="false">
      <c r="A115" s="6" t="n">
        <v>50</v>
      </c>
      <c r="B115" s="6" t="n">
        <v>8</v>
      </c>
      <c r="C115" s="6" t="s">
        <v>439</v>
      </c>
      <c r="D115" s="9" t="str">
        <f aca="false">IFERROR(INDEX(exercicio!$B$2:$B$190,MATCH(A115,exercicio!$A$2:$A$190,0)),"")</f>
        <v>Stiff</v>
      </c>
      <c r="E115" s="9" t="str">
        <f aca="false">IFERROR(INDEX(grupo_muscular!$C$2:$C$50,MATCH(B115,grupo_muscular!$A$2:$A$50,0)),"")</f>
        <v>Lombar</v>
      </c>
    </row>
    <row r="116" customFormat="false" ht="15" hidden="false" customHeight="false" outlineLevel="0" collapsed="false">
      <c r="A116" s="6" t="n">
        <v>51</v>
      </c>
      <c r="B116" s="6" t="n">
        <v>11</v>
      </c>
      <c r="C116" s="6" t="s">
        <v>438</v>
      </c>
      <c r="D116" s="9" t="str">
        <f aca="false">IFERROR(INDEX(exercicio!$B$2:$B$190,MATCH(A116,exercicio!$A$2:$A$190,0)),"")</f>
        <v>Stiff Unilateral</v>
      </c>
      <c r="E116" s="9" t="str">
        <f aca="false">IFERROR(INDEX(grupo_muscular!$C$2:$C$50,MATCH(B116,grupo_muscular!$A$2:$A$50,0)),"")</f>
        <v>Posterior de coxa</v>
      </c>
    </row>
    <row r="117" customFormat="false" ht="15" hidden="false" customHeight="false" outlineLevel="0" collapsed="false">
      <c r="A117" s="6" t="n">
        <v>51</v>
      </c>
      <c r="B117" s="6" t="n">
        <v>12</v>
      </c>
      <c r="C117" s="6" t="s">
        <v>439</v>
      </c>
      <c r="D117" s="9" t="str">
        <f aca="false">IFERROR(INDEX(exercicio!$B$2:$B$190,MATCH(A117,exercicio!$A$2:$A$190,0)),"")</f>
        <v>Stiff Unilateral</v>
      </c>
      <c r="E117" s="9" t="str">
        <f aca="false">IFERROR(INDEX(grupo_muscular!$C$2:$C$50,MATCH(B117,grupo_muscular!$A$2:$A$50,0)),"")</f>
        <v>Glúteos</v>
      </c>
    </row>
    <row r="118" customFormat="false" ht="15" hidden="false" customHeight="false" outlineLevel="0" collapsed="false">
      <c r="A118" s="6" t="n">
        <v>52</v>
      </c>
      <c r="B118" s="6" t="n">
        <v>11</v>
      </c>
      <c r="C118" s="6" t="s">
        <v>438</v>
      </c>
      <c r="D118" s="9" t="str">
        <f aca="false">IFERROR(INDEX(exercicio!$B$2:$B$190,MATCH(A118,exercicio!$A$2:$A$190,0)),"")</f>
        <v>Levantamento Terra</v>
      </c>
      <c r="E118" s="9" t="str">
        <f aca="false">IFERROR(INDEX(grupo_muscular!$C$2:$C$50,MATCH(B118,grupo_muscular!$A$2:$A$50,0)),"")</f>
        <v>Posterior de coxa</v>
      </c>
    </row>
    <row r="119" customFormat="false" ht="15" hidden="false" customHeight="false" outlineLevel="0" collapsed="false">
      <c r="A119" s="6" t="n">
        <v>52</v>
      </c>
      <c r="B119" s="6" t="n">
        <v>12</v>
      </c>
      <c r="C119" s="6" t="s">
        <v>439</v>
      </c>
      <c r="D119" s="9" t="str">
        <f aca="false">IFERROR(INDEX(exercicio!$B$2:$B$190,MATCH(A119,exercicio!$A$2:$A$190,0)),"")</f>
        <v>Levantamento Terra</v>
      </c>
      <c r="E119" s="9" t="str">
        <f aca="false">IFERROR(INDEX(grupo_muscular!$C$2:$C$50,MATCH(B119,grupo_muscular!$A$2:$A$50,0)),"")</f>
        <v>Glúteos</v>
      </c>
    </row>
    <row r="120" customFormat="false" ht="15" hidden="false" customHeight="false" outlineLevel="0" collapsed="false">
      <c r="A120" s="6" t="n">
        <v>52</v>
      </c>
      <c r="B120" s="6" t="n">
        <v>8</v>
      </c>
      <c r="C120" s="6" t="s">
        <v>439</v>
      </c>
      <c r="D120" s="9" t="str">
        <f aca="false">IFERROR(INDEX(exercicio!$B$2:$B$190,MATCH(A120,exercicio!$A$2:$A$190,0)),"")</f>
        <v>Levantamento Terra</v>
      </c>
      <c r="E120" s="9" t="str">
        <f aca="false">IFERROR(INDEX(grupo_muscular!$C$2:$C$50,MATCH(B120,grupo_muscular!$A$2:$A$50,0)),"")</f>
        <v>Lombar</v>
      </c>
    </row>
    <row r="121" customFormat="false" ht="15" hidden="false" customHeight="false" outlineLevel="0" collapsed="false">
      <c r="A121" s="6" t="n">
        <v>52</v>
      </c>
      <c r="B121" s="6" t="n">
        <v>10</v>
      </c>
      <c r="C121" s="6" t="s">
        <v>439</v>
      </c>
      <c r="D121" s="9" t="str">
        <f aca="false">IFERROR(INDEX(exercicio!$B$2:$B$190,MATCH(A121,exercicio!$A$2:$A$190,0)),"")</f>
        <v>Levantamento Terra</v>
      </c>
      <c r="E121" s="9" t="str">
        <f aca="false">IFERROR(INDEX(grupo_muscular!$C$2:$C$50,MATCH(B121,grupo_muscular!$A$2:$A$50,0)),"")</f>
        <v>Quadríceps</v>
      </c>
    </row>
    <row r="122" customFormat="false" ht="15" hidden="false" customHeight="false" outlineLevel="0" collapsed="false">
      <c r="A122" s="6" t="n">
        <v>53</v>
      </c>
      <c r="B122" s="6" t="n">
        <v>12</v>
      </c>
      <c r="C122" s="6" t="s">
        <v>438</v>
      </c>
      <c r="D122" s="9" t="str">
        <f aca="false">IFERROR(INDEX(exercicio!$B$2:$B$190,MATCH(A122,exercicio!$A$2:$A$190,0)),"")</f>
        <v>Elevação Pélvica com Peso do Corpo</v>
      </c>
      <c r="E122" s="9" t="str">
        <f aca="false">IFERROR(INDEX(grupo_muscular!$C$2:$C$50,MATCH(B122,grupo_muscular!$A$2:$A$50,0)),"")</f>
        <v>Glúteos</v>
      </c>
    </row>
    <row r="123" customFormat="false" ht="15" hidden="false" customHeight="false" outlineLevel="0" collapsed="false">
      <c r="A123" s="6" t="n">
        <v>53</v>
      </c>
      <c r="B123" s="6" t="n">
        <v>11</v>
      </c>
      <c r="C123" s="6" t="s">
        <v>439</v>
      </c>
      <c r="D123" s="9" t="str">
        <f aca="false">IFERROR(INDEX(exercicio!$B$2:$B$190,MATCH(A123,exercicio!$A$2:$A$190,0)),"")</f>
        <v>Elevação Pélvica com Peso do Corpo</v>
      </c>
      <c r="E123" s="9" t="str">
        <f aca="false">IFERROR(INDEX(grupo_muscular!$C$2:$C$50,MATCH(B123,grupo_muscular!$A$2:$A$50,0)),"")</f>
        <v>Posterior de coxa</v>
      </c>
    </row>
    <row r="124" customFormat="false" ht="15" hidden="false" customHeight="false" outlineLevel="0" collapsed="false">
      <c r="A124" s="6" t="n">
        <v>54</v>
      </c>
      <c r="B124" s="6" t="n">
        <v>12</v>
      </c>
      <c r="C124" s="6" t="s">
        <v>438</v>
      </c>
      <c r="D124" s="9" t="str">
        <f aca="false">IFERROR(INDEX(exercicio!$B$2:$B$190,MATCH(A124,exercicio!$A$2:$A$190,0)),"")</f>
        <v>Elevação Pélvica com Barra</v>
      </c>
      <c r="E124" s="9" t="str">
        <f aca="false">IFERROR(INDEX(grupo_muscular!$C$2:$C$50,MATCH(B124,grupo_muscular!$A$2:$A$50,0)),"")</f>
        <v>Glúteos</v>
      </c>
    </row>
    <row r="125" customFormat="false" ht="15" hidden="false" customHeight="false" outlineLevel="0" collapsed="false">
      <c r="A125" s="6" t="n">
        <v>54</v>
      </c>
      <c r="B125" s="6" t="n">
        <v>11</v>
      </c>
      <c r="C125" s="6" t="s">
        <v>439</v>
      </c>
      <c r="D125" s="9" t="str">
        <f aca="false">IFERROR(INDEX(exercicio!$B$2:$B$190,MATCH(A125,exercicio!$A$2:$A$190,0)),"")</f>
        <v>Elevação Pélvica com Barra</v>
      </c>
      <c r="E125" s="9" t="str">
        <f aca="false">IFERROR(INDEX(grupo_muscular!$C$2:$C$50,MATCH(B125,grupo_muscular!$A$2:$A$50,0)),"")</f>
        <v>Posterior de coxa</v>
      </c>
    </row>
    <row r="126" customFormat="false" ht="15" hidden="false" customHeight="false" outlineLevel="0" collapsed="false">
      <c r="A126" s="6" t="n">
        <v>55</v>
      </c>
      <c r="B126" s="6" t="n">
        <v>13</v>
      </c>
      <c r="C126" s="6" t="s">
        <v>438</v>
      </c>
      <c r="D126" s="9" t="str">
        <f aca="false">IFERROR(INDEX(exercicio!$B$2:$B$190,MATCH(A126,exercicio!$A$2:$A$190,0)),"")</f>
        <v>Elevação de Panturrilha em Pé com Peso do Corpo</v>
      </c>
      <c r="E126" s="9" t="str">
        <f aca="false">IFERROR(INDEX(grupo_muscular!$C$2:$C$50,MATCH(B126,grupo_muscular!$A$2:$A$50,0)),"")</f>
        <v>Panturrilha</v>
      </c>
    </row>
    <row r="127" customFormat="false" ht="15" hidden="false" customHeight="false" outlineLevel="0" collapsed="false">
      <c r="A127" s="6" t="n">
        <v>56</v>
      </c>
      <c r="B127" s="6" t="n">
        <v>13</v>
      </c>
      <c r="C127" s="6" t="s">
        <v>438</v>
      </c>
      <c r="D127" s="9" t="str">
        <f aca="false">IFERROR(INDEX(exercicio!$B$2:$B$190,MATCH(A127,exercicio!$A$2:$A$190,0)),"")</f>
        <v>Elevação de Panturrilha Unilateral com Peso do Corpo</v>
      </c>
      <c r="E127" s="9" t="str">
        <f aca="false">IFERROR(INDEX(grupo_muscular!$C$2:$C$50,MATCH(B127,grupo_muscular!$A$2:$A$50,0)),"")</f>
        <v>Panturrilha</v>
      </c>
    </row>
    <row r="128" customFormat="false" ht="15" hidden="false" customHeight="false" outlineLevel="0" collapsed="false">
      <c r="A128" s="6" t="n">
        <v>57</v>
      </c>
      <c r="B128" s="6" t="n">
        <v>13</v>
      </c>
      <c r="C128" s="6" t="s">
        <v>438</v>
      </c>
      <c r="D128" s="9" t="str">
        <f aca="false">IFERROR(INDEX(exercicio!$B$2:$B$190,MATCH(A128,exercicio!$A$2:$A$190,0)),"")</f>
        <v>Elevação de Panturrilha em Pé na Máquina</v>
      </c>
      <c r="E128" s="9" t="str">
        <f aca="false">IFERROR(INDEX(grupo_muscular!$C$2:$C$50,MATCH(B128,grupo_muscular!$A$2:$A$50,0)),"")</f>
        <v>Panturrilha</v>
      </c>
    </row>
    <row r="129" customFormat="false" ht="15" hidden="false" customHeight="false" outlineLevel="0" collapsed="false">
      <c r="A129" s="6" t="n">
        <v>58</v>
      </c>
      <c r="B129" s="6" t="n">
        <v>13</v>
      </c>
      <c r="C129" s="6" t="s">
        <v>438</v>
      </c>
      <c r="D129" s="9" t="str">
        <f aca="false">IFERROR(INDEX(exercicio!$B$2:$B$190,MATCH(A129,exercicio!$A$2:$A$190,0)),"")</f>
        <v>Elevação de Panturrilha com Barra</v>
      </c>
      <c r="E129" s="9" t="str">
        <f aca="false">IFERROR(INDEX(grupo_muscular!$C$2:$C$50,MATCH(B129,grupo_muscular!$A$2:$A$50,0)),"")</f>
        <v>Panturrilha</v>
      </c>
    </row>
    <row r="130" customFormat="false" ht="15" hidden="false" customHeight="false" outlineLevel="0" collapsed="false">
      <c r="A130" s="6" t="n">
        <v>59</v>
      </c>
      <c r="B130" s="6" t="n">
        <v>9</v>
      </c>
      <c r="C130" s="6" t="s">
        <v>438</v>
      </c>
      <c r="D130" s="9" t="str">
        <f aca="false">IFERROR(INDEX(exercicio!$B$2:$B$190,MATCH(A130,exercicio!$A$2:$A$190,0)),"")</f>
        <v>Prancha</v>
      </c>
      <c r="E130" s="9" t="str">
        <f aca="false">IFERROR(INDEX(grupo_muscular!$C$2:$C$50,MATCH(B130,grupo_muscular!$A$2:$A$50,0)),"")</f>
        <v>Abdômen</v>
      </c>
    </row>
    <row r="131" customFormat="false" ht="15" hidden="false" customHeight="false" outlineLevel="0" collapsed="false">
      <c r="A131" s="6" t="n">
        <v>60</v>
      </c>
      <c r="B131" s="6" t="n">
        <v>9</v>
      </c>
      <c r="C131" s="6" t="s">
        <v>438</v>
      </c>
      <c r="D131" s="9" t="str">
        <f aca="false">IFERROR(INDEX(exercicio!$B$2:$B$190,MATCH(A131,exercicio!$A$2:$A$190,0)),"")</f>
        <v>Abdominal Supra</v>
      </c>
      <c r="E131" s="9" t="str">
        <f aca="false">IFERROR(INDEX(grupo_muscular!$C$2:$C$50,MATCH(B131,grupo_muscular!$A$2:$A$50,0)),"")</f>
        <v>Abdômen</v>
      </c>
    </row>
    <row r="132" customFormat="false" ht="15" hidden="false" customHeight="false" outlineLevel="0" collapsed="false">
      <c r="A132" s="6" t="n">
        <v>61</v>
      </c>
      <c r="B132" s="6" t="n">
        <v>9</v>
      </c>
      <c r="C132" s="6" t="s">
        <v>438</v>
      </c>
      <c r="D132" s="9" t="str">
        <f aca="false">IFERROR(INDEX(exercicio!$B$2:$B$190,MATCH(A132,exercicio!$A$2:$A$190,0)),"")</f>
        <v>Elevação de Pernas</v>
      </c>
      <c r="E132" s="9" t="str">
        <f aca="false">IFERROR(INDEX(grupo_muscular!$C$2:$C$50,MATCH(B132,grupo_muscular!$A$2:$A$50,0)),"")</f>
        <v>Abdômen</v>
      </c>
    </row>
    <row r="133" customFormat="false" ht="15" hidden="false" customHeight="false" outlineLevel="0" collapsed="false">
      <c r="A133" s="6" t="n">
        <v>62</v>
      </c>
      <c r="B133" s="6" t="n">
        <v>9</v>
      </c>
      <c r="C133" s="6" t="s">
        <v>438</v>
      </c>
      <c r="D133" s="9" t="str">
        <f aca="false">IFERROR(INDEX(exercicio!$B$2:$B$190,MATCH(A133,exercicio!$A$2:$A$190,0)),"")</f>
        <v>Escalador</v>
      </c>
      <c r="E133" s="9" t="str">
        <f aca="false">IFERROR(INDEX(grupo_muscular!$C$2:$C$50,MATCH(B133,grupo_muscular!$A$2:$A$50,0)),"")</f>
        <v>Abdômen</v>
      </c>
    </row>
    <row r="134" customFormat="false" ht="15" hidden="false" customHeight="false" outlineLevel="0" collapsed="false">
      <c r="A134" s="6" t="n">
        <v>62</v>
      </c>
      <c r="B134" s="6" t="n">
        <v>10</v>
      </c>
      <c r="C134" s="6" t="s">
        <v>439</v>
      </c>
      <c r="D134" s="9" t="str">
        <f aca="false">IFERROR(INDEX(exercicio!$B$2:$B$190,MATCH(A134,exercicio!$A$2:$A$190,0)),"")</f>
        <v>Escalador</v>
      </c>
      <c r="E134" s="9" t="str">
        <f aca="false">IFERROR(INDEX(grupo_muscular!$C$2:$C$50,MATCH(B134,grupo_muscular!$A$2:$A$50,0)),"")</f>
        <v>Quadríceps</v>
      </c>
    </row>
    <row r="135" customFormat="false" ht="15" hidden="false" customHeight="false" outlineLevel="0" collapsed="false">
      <c r="A135" s="6" t="n">
        <v>63</v>
      </c>
      <c r="B135" s="6" t="n">
        <v>9</v>
      </c>
      <c r="C135" s="6" t="s">
        <v>438</v>
      </c>
      <c r="D135" s="9" t="str">
        <f aca="false">IFERROR(INDEX(exercicio!$B$2:$B$190,MATCH(A135,exercicio!$A$2:$A$190,0)),"")</f>
        <v>Abdominal na Polia Alta</v>
      </c>
      <c r="E135" s="9" t="str">
        <f aca="false">IFERROR(INDEX(grupo_muscular!$C$2:$C$50,MATCH(B135,grupo_muscular!$A$2:$A$50,0)),"")</f>
        <v>Abdômen</v>
      </c>
    </row>
    <row r="136" customFormat="false" ht="15" hidden="false" customHeight="false" outlineLevel="0" collapsed="false">
      <c r="A136" s="6" t="n">
        <v>64</v>
      </c>
      <c r="B136" s="6" t="n">
        <v>9</v>
      </c>
      <c r="C136" s="6" t="s">
        <v>438</v>
      </c>
      <c r="D136" s="9" t="str">
        <f aca="false">IFERROR(INDEX(exercicio!$B$2:$B$190,MATCH(A136,exercicio!$A$2:$A$190,0)),"")</f>
        <v>Abdominal na Máquina</v>
      </c>
      <c r="E136" s="9" t="str">
        <f aca="false">IFERROR(INDEX(grupo_muscular!$C$2:$C$50,MATCH(B136,grupo_muscular!$A$2:$A$50,0)),"")</f>
        <v>Abdômen</v>
      </c>
    </row>
    <row r="137" customFormat="false" ht="15" hidden="false" customHeight="false" outlineLevel="0" collapsed="false">
      <c r="A137" s="6" t="n">
        <v>65</v>
      </c>
      <c r="B137" s="6" t="n">
        <v>9</v>
      </c>
      <c r="C137" s="6" t="s">
        <v>438</v>
      </c>
      <c r="D137" s="9" t="str">
        <f aca="false">IFERROR(INDEX(exercicio!$B$2:$B$190,MATCH(A137,exercicio!$A$2:$A$190,0)),"")</f>
        <v>Rolamento com Roda Abdominal</v>
      </c>
      <c r="E137" s="9" t="str">
        <f aca="false">IFERROR(INDEX(grupo_muscular!$C$2:$C$50,MATCH(B137,grupo_muscular!$A$2:$A$50,0)),"")</f>
        <v>Abdômen</v>
      </c>
    </row>
    <row r="138" customFormat="false" ht="15" hidden="false" customHeight="false" outlineLevel="0" collapsed="false">
      <c r="A138" s="6" t="n">
        <v>66</v>
      </c>
      <c r="B138" s="6" t="n">
        <v>9</v>
      </c>
      <c r="C138" s="6" t="s">
        <v>438</v>
      </c>
      <c r="D138" s="9" t="str">
        <f aca="false">IFERROR(INDEX(exercicio!$B$2:$B$190,MATCH(A138,exercicio!$A$2:$A$190,0)),"")</f>
        <v>Elevação de Pernas na Cadeira Capitão</v>
      </c>
      <c r="E138" s="9" t="str">
        <f aca="false">IFERROR(INDEX(grupo_muscular!$C$2:$C$50,MATCH(B138,grupo_muscular!$A$2:$A$50,0)),"")</f>
        <v>Abdômen</v>
      </c>
    </row>
    <row r="139" customFormat="false" ht="15" hidden="false" customHeight="false" outlineLevel="0" collapsed="false">
      <c r="A139" s="6" t="n">
        <v>67</v>
      </c>
      <c r="B139" s="6" t="n">
        <v>1</v>
      </c>
      <c r="C139" s="6" t="s">
        <v>438</v>
      </c>
      <c r="D139" s="9" t="str">
        <f aca="false">IFERROR(INDEX(exercicio!$B$2:$B$190,MATCH(A139,exercicio!$A$2:$A$190,0)),"")</f>
        <v>Supino Reto com Halteres</v>
      </c>
      <c r="E139" s="9" t="str">
        <f aca="false">IFERROR(INDEX(grupo_muscular!$C$2:$C$50,MATCH(B139,grupo_muscular!$A$2:$A$50,0)),"")</f>
        <v>Peitoral</v>
      </c>
    </row>
    <row r="140" customFormat="false" ht="15" hidden="false" customHeight="false" outlineLevel="0" collapsed="false">
      <c r="A140" s="6" t="n">
        <v>67</v>
      </c>
      <c r="B140" s="6" t="n">
        <v>2</v>
      </c>
      <c r="C140" s="6" t="s">
        <v>439</v>
      </c>
      <c r="D140" s="9" t="str">
        <f aca="false">IFERROR(INDEX(exercicio!$B$2:$B$190,MATCH(A140,exercicio!$A$2:$A$190,0)),"")</f>
        <v>Supino Reto com Halteres</v>
      </c>
      <c r="E140" s="9" t="str">
        <f aca="false">IFERROR(INDEX(grupo_muscular!$C$2:$C$50,MATCH(B140,grupo_muscular!$A$2:$A$50,0)),"")</f>
        <v>Deltoides</v>
      </c>
    </row>
    <row r="141" customFormat="false" ht="15" hidden="false" customHeight="false" outlineLevel="0" collapsed="false">
      <c r="A141" s="6" t="n">
        <v>67</v>
      </c>
      <c r="B141" s="6" t="n">
        <v>3</v>
      </c>
      <c r="C141" s="6" t="s">
        <v>439</v>
      </c>
      <c r="D141" s="9" t="str">
        <f aca="false">IFERROR(INDEX(exercicio!$B$2:$B$190,MATCH(A141,exercicio!$A$2:$A$190,0)),"")</f>
        <v>Supino Reto com Halteres</v>
      </c>
      <c r="E141" s="9" t="str">
        <f aca="false">IFERROR(INDEX(grupo_muscular!$C$2:$C$50,MATCH(B141,grupo_muscular!$A$2:$A$50,0)),"")</f>
        <v>Tríceps</v>
      </c>
    </row>
    <row r="142" customFormat="false" ht="15" hidden="false" customHeight="false" outlineLevel="0" collapsed="false">
      <c r="A142" s="6" t="n">
        <v>68</v>
      </c>
      <c r="B142" s="6" t="n">
        <v>1</v>
      </c>
      <c r="C142" s="6" t="s">
        <v>438</v>
      </c>
      <c r="D142" s="9" t="str">
        <f aca="false">IFERROR(INDEX(exercicio!$B$2:$B$190,MATCH(A142,exercicio!$A$2:$A$190,0)),"")</f>
        <v>Supino Inclinado com Barra</v>
      </c>
      <c r="E142" s="9" t="str">
        <f aca="false">IFERROR(INDEX(grupo_muscular!$C$2:$C$50,MATCH(B142,grupo_muscular!$A$2:$A$50,0)),"")</f>
        <v>Peitoral</v>
      </c>
    </row>
    <row r="143" customFormat="false" ht="15" hidden="false" customHeight="false" outlineLevel="0" collapsed="false">
      <c r="A143" s="6" t="n">
        <v>68</v>
      </c>
      <c r="B143" s="6" t="n">
        <v>2</v>
      </c>
      <c r="C143" s="6" t="s">
        <v>439</v>
      </c>
      <c r="D143" s="9" t="str">
        <f aca="false">IFERROR(INDEX(exercicio!$B$2:$B$190,MATCH(A143,exercicio!$A$2:$A$190,0)),"")</f>
        <v>Supino Inclinado com Barra</v>
      </c>
      <c r="E143" s="9" t="str">
        <f aca="false">IFERROR(INDEX(grupo_muscular!$C$2:$C$50,MATCH(B143,grupo_muscular!$A$2:$A$50,0)),"")</f>
        <v>Deltoides</v>
      </c>
    </row>
    <row r="144" customFormat="false" ht="15" hidden="false" customHeight="false" outlineLevel="0" collapsed="false">
      <c r="A144" s="6" t="n">
        <v>68</v>
      </c>
      <c r="B144" s="6" t="n">
        <v>3</v>
      </c>
      <c r="C144" s="6" t="s">
        <v>439</v>
      </c>
      <c r="D144" s="9" t="str">
        <f aca="false">IFERROR(INDEX(exercicio!$B$2:$B$190,MATCH(A144,exercicio!$A$2:$A$190,0)),"")</f>
        <v>Supino Inclinado com Barra</v>
      </c>
      <c r="E144" s="9" t="str">
        <f aca="false">IFERROR(INDEX(grupo_muscular!$C$2:$C$50,MATCH(B144,grupo_muscular!$A$2:$A$50,0)),"")</f>
        <v>Tríceps</v>
      </c>
    </row>
    <row r="145" customFormat="false" ht="15" hidden="false" customHeight="false" outlineLevel="0" collapsed="false">
      <c r="A145" s="6" t="n">
        <v>69</v>
      </c>
      <c r="B145" s="6" t="n">
        <v>1</v>
      </c>
      <c r="C145" s="6" t="s">
        <v>438</v>
      </c>
      <c r="D145" s="9" t="str">
        <f aca="false">IFERROR(INDEX(exercicio!$B$2:$B$190,MATCH(A145,exercicio!$A$2:$A$190,0)),"")</f>
        <v>Supino na Máquina</v>
      </c>
      <c r="E145" s="9" t="str">
        <f aca="false">IFERROR(INDEX(grupo_muscular!$C$2:$C$50,MATCH(B145,grupo_muscular!$A$2:$A$50,0)),"")</f>
        <v>Peitoral</v>
      </c>
    </row>
    <row r="146" customFormat="false" ht="15" hidden="false" customHeight="false" outlineLevel="0" collapsed="false">
      <c r="A146" s="6" t="n">
        <v>69</v>
      </c>
      <c r="B146" s="6" t="n">
        <v>2</v>
      </c>
      <c r="C146" s="6" t="s">
        <v>439</v>
      </c>
      <c r="D146" s="9" t="str">
        <f aca="false">IFERROR(INDEX(exercicio!$B$2:$B$190,MATCH(A146,exercicio!$A$2:$A$190,0)),"")</f>
        <v>Supino na Máquina</v>
      </c>
      <c r="E146" s="9" t="str">
        <f aca="false">IFERROR(INDEX(grupo_muscular!$C$2:$C$50,MATCH(B146,grupo_muscular!$A$2:$A$50,0)),"")</f>
        <v>Deltoides</v>
      </c>
    </row>
    <row r="147" customFormat="false" ht="15" hidden="false" customHeight="false" outlineLevel="0" collapsed="false">
      <c r="A147" s="6" t="n">
        <v>69</v>
      </c>
      <c r="B147" s="6" t="n">
        <v>3</v>
      </c>
      <c r="C147" s="6" t="s">
        <v>439</v>
      </c>
      <c r="D147" s="9" t="str">
        <f aca="false">IFERROR(INDEX(exercicio!$B$2:$B$190,MATCH(A147,exercicio!$A$2:$A$190,0)),"")</f>
        <v>Supino na Máquina</v>
      </c>
      <c r="E147" s="9" t="str">
        <f aca="false">IFERROR(INDEX(grupo_muscular!$C$2:$C$50,MATCH(B147,grupo_muscular!$A$2:$A$50,0)),"")</f>
        <v>Tríceps</v>
      </c>
    </row>
    <row r="148" customFormat="false" ht="15" hidden="false" customHeight="false" outlineLevel="0" collapsed="false">
      <c r="A148" s="6" t="n">
        <v>70</v>
      </c>
      <c r="B148" s="6" t="n">
        <v>1</v>
      </c>
      <c r="C148" s="6" t="s">
        <v>438</v>
      </c>
      <c r="D148" s="9" t="str">
        <f aca="false">IFERROR(INDEX(exercicio!$B$2:$B$190,MATCH(A148,exercicio!$A$2:$A$190,0)),"")</f>
        <v>Supino Inclinado na Máquina</v>
      </c>
      <c r="E148" s="9" t="str">
        <f aca="false">IFERROR(INDEX(grupo_muscular!$C$2:$C$50,MATCH(B148,grupo_muscular!$A$2:$A$50,0)),"")</f>
        <v>Peitoral</v>
      </c>
    </row>
    <row r="149" customFormat="false" ht="15" hidden="false" customHeight="false" outlineLevel="0" collapsed="false">
      <c r="A149" s="6" t="n">
        <v>70</v>
      </c>
      <c r="B149" s="6" t="n">
        <v>2</v>
      </c>
      <c r="C149" s="6" t="s">
        <v>439</v>
      </c>
      <c r="D149" s="9" t="str">
        <f aca="false">IFERROR(INDEX(exercicio!$B$2:$B$190,MATCH(A149,exercicio!$A$2:$A$190,0)),"")</f>
        <v>Supino Inclinado na Máquina</v>
      </c>
      <c r="E149" s="9" t="str">
        <f aca="false">IFERROR(INDEX(grupo_muscular!$C$2:$C$50,MATCH(B149,grupo_muscular!$A$2:$A$50,0)),"")</f>
        <v>Deltoides</v>
      </c>
    </row>
    <row r="150" customFormat="false" ht="15" hidden="false" customHeight="false" outlineLevel="0" collapsed="false">
      <c r="A150" s="6" t="n">
        <v>70</v>
      </c>
      <c r="B150" s="6" t="n">
        <v>3</v>
      </c>
      <c r="C150" s="6" t="s">
        <v>439</v>
      </c>
      <c r="D150" s="9" t="str">
        <f aca="false">IFERROR(INDEX(exercicio!$B$2:$B$190,MATCH(A150,exercicio!$A$2:$A$190,0)),"")</f>
        <v>Supino Inclinado na Máquina</v>
      </c>
      <c r="E150" s="9" t="str">
        <f aca="false">IFERROR(INDEX(grupo_muscular!$C$2:$C$50,MATCH(B150,grupo_muscular!$A$2:$A$50,0)),"")</f>
        <v>Tríceps</v>
      </c>
    </row>
    <row r="151" customFormat="false" ht="15" hidden="false" customHeight="false" outlineLevel="0" collapsed="false">
      <c r="A151" s="6" t="n">
        <v>71</v>
      </c>
      <c r="B151" s="6" t="n">
        <v>1</v>
      </c>
      <c r="C151" s="6" t="s">
        <v>438</v>
      </c>
      <c r="D151" s="9" t="str">
        <f aca="false">IFERROR(INDEX(exercicio!$B$2:$B$190,MATCH(A151,exercicio!$A$2:$A$190,0)),"")</f>
        <v>Crucifixo Reto com Halteres</v>
      </c>
      <c r="E151" s="9" t="str">
        <f aca="false">IFERROR(INDEX(grupo_muscular!$C$2:$C$50,MATCH(B151,grupo_muscular!$A$2:$A$50,0)),"")</f>
        <v>Peitoral</v>
      </c>
    </row>
    <row r="152" customFormat="false" ht="15" hidden="false" customHeight="false" outlineLevel="0" collapsed="false">
      <c r="A152" s="6" t="n">
        <v>71</v>
      </c>
      <c r="B152" s="6" t="n">
        <v>2</v>
      </c>
      <c r="C152" s="6" t="s">
        <v>439</v>
      </c>
      <c r="D152" s="9" t="str">
        <f aca="false">IFERROR(INDEX(exercicio!$B$2:$B$190,MATCH(A152,exercicio!$A$2:$A$190,0)),"")</f>
        <v>Crucifixo Reto com Halteres</v>
      </c>
      <c r="E152" s="9" t="str">
        <f aca="false">IFERROR(INDEX(grupo_muscular!$C$2:$C$50,MATCH(B152,grupo_muscular!$A$2:$A$50,0)),"")</f>
        <v>Deltoides</v>
      </c>
    </row>
    <row r="153" customFormat="false" ht="15" hidden="false" customHeight="false" outlineLevel="0" collapsed="false">
      <c r="A153" s="6" t="n">
        <v>72</v>
      </c>
      <c r="B153" s="6" t="n">
        <v>1</v>
      </c>
      <c r="C153" s="6" t="s">
        <v>438</v>
      </c>
      <c r="D153" s="9" t="str">
        <f aca="false">IFERROR(INDEX(exercicio!$B$2:$B$190,MATCH(A153,exercicio!$A$2:$A$190,0)),"")</f>
        <v>Crossover na Polia</v>
      </c>
      <c r="E153" s="9" t="str">
        <f aca="false">IFERROR(INDEX(grupo_muscular!$C$2:$C$50,MATCH(B153,grupo_muscular!$A$2:$A$50,0)),"")</f>
        <v>Peitoral</v>
      </c>
    </row>
    <row r="154" customFormat="false" ht="15" hidden="false" customHeight="false" outlineLevel="0" collapsed="false">
      <c r="A154" s="6" t="n">
        <v>72</v>
      </c>
      <c r="B154" s="6" t="n">
        <v>2</v>
      </c>
      <c r="C154" s="6" t="s">
        <v>439</v>
      </c>
      <c r="D154" s="9" t="str">
        <f aca="false">IFERROR(INDEX(exercicio!$B$2:$B$190,MATCH(A154,exercicio!$A$2:$A$190,0)),"")</f>
        <v>Crossover na Polia</v>
      </c>
      <c r="E154" s="9" t="str">
        <f aca="false">IFERROR(INDEX(grupo_muscular!$C$2:$C$50,MATCH(B154,grupo_muscular!$A$2:$A$50,0)),"")</f>
        <v>Deltoides</v>
      </c>
    </row>
    <row r="155" customFormat="false" ht="15" hidden="false" customHeight="false" outlineLevel="0" collapsed="false">
      <c r="A155" s="6" t="n">
        <v>73</v>
      </c>
      <c r="B155" s="6" t="n">
        <v>2</v>
      </c>
      <c r="C155" s="6" t="s">
        <v>438</v>
      </c>
      <c r="D155" s="9" t="str">
        <f aca="false">IFERROR(INDEX(exercicio!$B$2:$B$190,MATCH(A155,exercicio!$A$2:$A$190,0)),"")</f>
        <v>Elevação Lateral com Halteres</v>
      </c>
      <c r="E155" s="9" t="str">
        <f aca="false">IFERROR(INDEX(grupo_muscular!$C$2:$C$50,MATCH(B155,grupo_muscular!$A$2:$A$50,0)),"")</f>
        <v>Deltoides</v>
      </c>
    </row>
    <row r="156" customFormat="false" ht="15" hidden="false" customHeight="false" outlineLevel="0" collapsed="false">
      <c r="A156" s="6" t="n">
        <v>73</v>
      </c>
      <c r="B156" s="6" t="n">
        <v>7</v>
      </c>
      <c r="C156" s="6" t="s">
        <v>439</v>
      </c>
      <c r="D156" s="9" t="str">
        <f aca="false">IFERROR(INDEX(exercicio!$B$2:$B$190,MATCH(A156,exercicio!$A$2:$A$190,0)),"")</f>
        <v>Elevação Lateral com Halteres</v>
      </c>
      <c r="E156" s="9" t="str">
        <f aca="false">IFERROR(INDEX(grupo_muscular!$C$2:$C$50,MATCH(B156,grupo_muscular!$A$2:$A$50,0)),"")</f>
        <v>Trapézio</v>
      </c>
    </row>
    <row r="157" customFormat="false" ht="15" hidden="false" customHeight="false" outlineLevel="0" collapsed="false">
      <c r="A157" s="6" t="n">
        <v>74</v>
      </c>
      <c r="B157" s="6" t="n">
        <v>2</v>
      </c>
      <c r="C157" s="6" t="s">
        <v>438</v>
      </c>
      <c r="D157" s="9" t="str">
        <f aca="false">IFERROR(INDEX(exercicio!$B$2:$B$190,MATCH(A157,exercicio!$A$2:$A$190,0)),"")</f>
        <v>Desenvolvimento na Máquina</v>
      </c>
      <c r="E157" s="9" t="str">
        <f aca="false">IFERROR(INDEX(grupo_muscular!$C$2:$C$50,MATCH(B157,grupo_muscular!$A$2:$A$50,0)),"")</f>
        <v>Deltoides</v>
      </c>
    </row>
    <row r="158" customFormat="false" ht="15" hidden="false" customHeight="false" outlineLevel="0" collapsed="false">
      <c r="A158" s="6" t="n">
        <v>74</v>
      </c>
      <c r="B158" s="6" t="n">
        <v>3</v>
      </c>
      <c r="C158" s="6" t="s">
        <v>439</v>
      </c>
      <c r="D158" s="9" t="str">
        <f aca="false">IFERROR(INDEX(exercicio!$B$2:$B$190,MATCH(A158,exercicio!$A$2:$A$190,0)),"")</f>
        <v>Desenvolvimento na Máquina</v>
      </c>
      <c r="E158" s="9" t="str">
        <f aca="false">IFERROR(INDEX(grupo_muscular!$C$2:$C$50,MATCH(B158,grupo_muscular!$A$2:$A$50,0)),"")</f>
        <v>Tríceps</v>
      </c>
    </row>
    <row r="159" customFormat="false" ht="15" hidden="false" customHeight="false" outlineLevel="0" collapsed="false">
      <c r="A159" s="6" t="n">
        <v>75</v>
      </c>
      <c r="B159" s="6" t="n">
        <v>2</v>
      </c>
      <c r="C159" s="6" t="s">
        <v>438</v>
      </c>
      <c r="D159" s="9" t="str">
        <f aca="false">IFERROR(INDEX(exercicio!$B$2:$B$190,MATCH(A159,exercicio!$A$2:$A$190,0)),"")</f>
        <v>Elevação Frontal na Polia</v>
      </c>
      <c r="E159" s="9" t="str">
        <f aca="false">IFERROR(INDEX(grupo_muscular!$C$2:$C$50,MATCH(B159,grupo_muscular!$A$2:$A$50,0)),"")</f>
        <v>Deltoides</v>
      </c>
    </row>
    <row r="160" customFormat="false" ht="15" hidden="false" customHeight="false" outlineLevel="0" collapsed="false">
      <c r="A160" s="6" t="n">
        <v>76</v>
      </c>
      <c r="B160" s="6" t="n">
        <v>6</v>
      </c>
      <c r="C160" s="6" t="s">
        <v>438</v>
      </c>
      <c r="D160" s="9" t="str">
        <f aca="false">IFERROR(INDEX(exercicio!$B$2:$B$190,MATCH(A160,exercicio!$A$2:$A$190,0)),"")</f>
        <v>Puxada Alta com Triângulo</v>
      </c>
      <c r="E160" s="9" t="str">
        <f aca="false">IFERROR(INDEX(grupo_muscular!$C$2:$C$50,MATCH(B160,grupo_muscular!$A$2:$A$50,0)),"")</f>
        <v>Dorsal</v>
      </c>
    </row>
    <row r="161" customFormat="false" ht="15" hidden="false" customHeight="false" outlineLevel="0" collapsed="false">
      <c r="A161" s="6" t="n">
        <v>76</v>
      </c>
      <c r="B161" s="6" t="n">
        <v>4</v>
      </c>
      <c r="C161" s="6" t="s">
        <v>439</v>
      </c>
      <c r="D161" s="9" t="str">
        <f aca="false">IFERROR(INDEX(exercicio!$B$2:$B$190,MATCH(A161,exercicio!$A$2:$A$190,0)),"")</f>
        <v>Puxada Alta com Triângulo</v>
      </c>
      <c r="E161" s="9" t="str">
        <f aca="false">IFERROR(INDEX(grupo_muscular!$C$2:$C$50,MATCH(B161,grupo_muscular!$A$2:$A$50,0)),"")</f>
        <v>Bíceps</v>
      </c>
    </row>
    <row r="162" customFormat="false" ht="15" hidden="false" customHeight="false" outlineLevel="0" collapsed="false">
      <c r="A162" s="6" t="n">
        <v>76</v>
      </c>
      <c r="B162" s="6" t="n">
        <v>2</v>
      </c>
      <c r="C162" s="6" t="s">
        <v>439</v>
      </c>
      <c r="D162" s="9" t="str">
        <f aca="false">IFERROR(INDEX(exercicio!$B$2:$B$190,MATCH(A162,exercicio!$A$2:$A$190,0)),"")</f>
        <v>Puxada Alta com Triângulo</v>
      </c>
      <c r="E162" s="9" t="str">
        <f aca="false">IFERROR(INDEX(grupo_muscular!$C$2:$C$50,MATCH(B162,grupo_muscular!$A$2:$A$50,0)),"")</f>
        <v>Deltoides</v>
      </c>
    </row>
    <row r="163" customFormat="false" ht="15" hidden="false" customHeight="false" outlineLevel="0" collapsed="false">
      <c r="A163" s="6" t="n">
        <v>77</v>
      </c>
      <c r="B163" s="6" t="n">
        <v>6</v>
      </c>
      <c r="C163" s="6" t="s">
        <v>438</v>
      </c>
      <c r="D163" s="9" t="str">
        <f aca="false">IFERROR(INDEX(exercicio!$B$2:$B$190,MATCH(A163,exercicio!$A$2:$A$190,0)),"")</f>
        <v>Remada Cavalinho</v>
      </c>
      <c r="E163" s="9" t="str">
        <f aca="false">IFERROR(INDEX(grupo_muscular!$C$2:$C$50,MATCH(B163,grupo_muscular!$A$2:$A$50,0)),"")</f>
        <v>Dorsal</v>
      </c>
    </row>
    <row r="164" customFormat="false" ht="15" hidden="false" customHeight="false" outlineLevel="0" collapsed="false">
      <c r="A164" s="6" t="n">
        <v>77</v>
      </c>
      <c r="B164" s="6" t="n">
        <v>7</v>
      </c>
      <c r="C164" s="6" t="s">
        <v>439</v>
      </c>
      <c r="D164" s="9" t="str">
        <f aca="false">IFERROR(INDEX(exercicio!$B$2:$B$190,MATCH(A164,exercicio!$A$2:$A$190,0)),"")</f>
        <v>Remada Cavalinho</v>
      </c>
      <c r="E164" s="9" t="str">
        <f aca="false">IFERROR(INDEX(grupo_muscular!$C$2:$C$50,MATCH(B164,grupo_muscular!$A$2:$A$50,0)),"")</f>
        <v>Trapézio</v>
      </c>
    </row>
    <row r="165" customFormat="false" ht="15" hidden="false" customHeight="false" outlineLevel="0" collapsed="false">
      <c r="A165" s="6" t="n">
        <v>77</v>
      </c>
      <c r="B165" s="6" t="n">
        <v>2</v>
      </c>
      <c r="C165" s="6" t="s">
        <v>439</v>
      </c>
      <c r="D165" s="9" t="str">
        <f aca="false">IFERROR(INDEX(exercicio!$B$2:$B$190,MATCH(A165,exercicio!$A$2:$A$190,0)),"")</f>
        <v>Remada Cavalinho</v>
      </c>
      <c r="E165" s="9" t="str">
        <f aca="false">IFERROR(INDEX(grupo_muscular!$C$2:$C$50,MATCH(B165,grupo_muscular!$A$2:$A$50,0)),"")</f>
        <v>Deltoides</v>
      </c>
    </row>
    <row r="166" customFormat="false" ht="15" hidden="false" customHeight="false" outlineLevel="0" collapsed="false">
      <c r="A166" s="6" t="n">
        <v>77</v>
      </c>
      <c r="B166" s="6" t="n">
        <v>4</v>
      </c>
      <c r="C166" s="6" t="s">
        <v>439</v>
      </c>
      <c r="D166" s="9" t="str">
        <f aca="false">IFERROR(INDEX(exercicio!$B$2:$B$190,MATCH(A166,exercicio!$A$2:$A$190,0)),"")</f>
        <v>Remada Cavalinho</v>
      </c>
      <c r="E166" s="9" t="str">
        <f aca="false">IFERROR(INDEX(grupo_muscular!$C$2:$C$50,MATCH(B166,grupo_muscular!$A$2:$A$50,0)),"")</f>
        <v>Bíceps</v>
      </c>
    </row>
    <row r="167" customFormat="false" ht="15" hidden="false" customHeight="false" outlineLevel="0" collapsed="false">
      <c r="A167" s="6" t="n">
        <v>77</v>
      </c>
      <c r="B167" s="6" t="n">
        <v>8</v>
      </c>
      <c r="C167" s="6" t="s">
        <v>439</v>
      </c>
      <c r="D167" s="9" t="str">
        <f aca="false">IFERROR(INDEX(exercicio!$B$2:$B$190,MATCH(A167,exercicio!$A$2:$A$190,0)),"")</f>
        <v>Remada Cavalinho</v>
      </c>
      <c r="E167" s="9" t="str">
        <f aca="false">IFERROR(INDEX(grupo_muscular!$C$2:$C$50,MATCH(B167,grupo_muscular!$A$2:$A$50,0)),"")</f>
        <v>Lombar</v>
      </c>
    </row>
    <row r="168" customFormat="false" ht="15" hidden="false" customHeight="false" outlineLevel="0" collapsed="false">
      <c r="A168" s="6" t="n">
        <v>78</v>
      </c>
      <c r="B168" s="6" t="n">
        <v>4</v>
      </c>
      <c r="C168" s="6" t="s">
        <v>438</v>
      </c>
      <c r="D168" s="9" t="str">
        <f aca="false">IFERROR(INDEX(exercicio!$B$2:$B$190,MATCH(A168,exercicio!$A$2:$A$190,0)),"")</f>
        <v>Rosca Martelo</v>
      </c>
      <c r="E168" s="9" t="str">
        <f aca="false">IFERROR(INDEX(grupo_muscular!$C$2:$C$50,MATCH(B168,grupo_muscular!$A$2:$A$50,0)),"")</f>
        <v>Bíceps</v>
      </c>
    </row>
    <row r="169" customFormat="false" ht="15" hidden="false" customHeight="false" outlineLevel="0" collapsed="false">
      <c r="A169" s="6" t="n">
        <v>78</v>
      </c>
      <c r="B169" s="6" t="n">
        <v>5</v>
      </c>
      <c r="C169" s="6" t="s">
        <v>439</v>
      </c>
      <c r="D169" s="9" t="str">
        <f aca="false">IFERROR(INDEX(exercicio!$B$2:$B$190,MATCH(A169,exercicio!$A$2:$A$190,0)),"")</f>
        <v>Rosca Martelo</v>
      </c>
      <c r="E169" s="9" t="str">
        <f aca="false">IFERROR(INDEX(grupo_muscular!$C$2:$C$50,MATCH(B169,grupo_muscular!$A$2:$A$50,0)),"")</f>
        <v>Antebraço</v>
      </c>
    </row>
    <row r="170" customFormat="false" ht="15" hidden="false" customHeight="false" outlineLevel="0" collapsed="false">
      <c r="A170" s="6" t="n">
        <v>79</v>
      </c>
      <c r="B170" s="6" t="n">
        <v>4</v>
      </c>
      <c r="C170" s="6" t="s">
        <v>438</v>
      </c>
      <c r="D170" s="9" t="str">
        <f aca="false">IFERROR(INDEX(exercicio!$B$2:$B$190,MATCH(A170,exercicio!$A$2:$A$190,0)),"")</f>
        <v>Rosca por Trás do Corpo na Polia</v>
      </c>
      <c r="E170" s="9" t="str">
        <f aca="false">IFERROR(INDEX(grupo_muscular!$C$2:$C$50,MATCH(B170,grupo_muscular!$A$2:$A$50,0)),"")</f>
        <v>Bíceps</v>
      </c>
    </row>
    <row r="171" customFormat="false" ht="15" hidden="false" customHeight="false" outlineLevel="0" collapsed="false">
      <c r="A171" s="6" t="n">
        <v>79</v>
      </c>
      <c r="B171" s="6" t="n">
        <v>5</v>
      </c>
      <c r="C171" s="6" t="s">
        <v>439</v>
      </c>
      <c r="D171" s="9" t="str">
        <f aca="false">IFERROR(INDEX(exercicio!$B$2:$B$190,MATCH(A171,exercicio!$A$2:$A$190,0)),"")</f>
        <v>Rosca por Trás do Corpo na Polia</v>
      </c>
      <c r="E171" s="9" t="str">
        <f aca="false">IFERROR(INDEX(grupo_muscular!$C$2:$C$50,MATCH(B171,grupo_muscular!$A$2:$A$50,0)),"")</f>
        <v>Antebraço</v>
      </c>
    </row>
    <row r="172" customFormat="false" ht="15" hidden="false" customHeight="false" outlineLevel="0" collapsed="false">
      <c r="A172" s="6" t="n">
        <v>80</v>
      </c>
      <c r="B172" s="6" t="n">
        <v>3</v>
      </c>
      <c r="C172" s="6" t="s">
        <v>438</v>
      </c>
      <c r="D172" s="9" t="str">
        <f aca="false">IFERROR(INDEX(exercicio!$B$2:$B$190,MATCH(A172,exercicio!$A$2:$A$190,0)),"")</f>
        <v>Tríceps Testa com Barra W</v>
      </c>
      <c r="E172" s="9" t="str">
        <f aca="false">IFERROR(INDEX(grupo_muscular!$C$2:$C$50,MATCH(B172,grupo_muscular!$A$2:$A$50,0)),"")</f>
        <v>Tríceps</v>
      </c>
    </row>
    <row r="173" customFormat="false" ht="15" hidden="false" customHeight="false" outlineLevel="0" collapsed="false">
      <c r="A173" s="6" t="n">
        <v>81</v>
      </c>
      <c r="B173" s="6" t="n">
        <v>10</v>
      </c>
      <c r="C173" s="6" t="s">
        <v>438</v>
      </c>
      <c r="D173" s="9" t="str">
        <f aca="false">IFERROR(INDEX(exercicio!$B$2:$B$190,MATCH(A173,exercicio!$A$2:$A$190,0)),"")</f>
        <v>Agachamento no Smith</v>
      </c>
      <c r="E173" s="9" t="str">
        <f aca="false">IFERROR(INDEX(grupo_muscular!$C$2:$C$50,MATCH(B173,grupo_muscular!$A$2:$A$50,0)),"")</f>
        <v>Quadríceps</v>
      </c>
    </row>
    <row r="174" customFormat="false" ht="15" hidden="false" customHeight="false" outlineLevel="0" collapsed="false">
      <c r="A174" s="6" t="n">
        <v>81</v>
      </c>
      <c r="B174" s="6" t="n">
        <v>12</v>
      </c>
      <c r="C174" s="6" t="s">
        <v>439</v>
      </c>
      <c r="D174" s="9" t="str">
        <f aca="false">IFERROR(INDEX(exercicio!$B$2:$B$190,MATCH(A174,exercicio!$A$2:$A$190,0)),"")</f>
        <v>Agachamento no Smith</v>
      </c>
      <c r="E174" s="9" t="str">
        <f aca="false">IFERROR(INDEX(grupo_muscular!$C$2:$C$50,MATCH(B174,grupo_muscular!$A$2:$A$50,0)),"")</f>
        <v>Glúteos</v>
      </c>
    </row>
    <row r="175" customFormat="false" ht="15" hidden="false" customHeight="false" outlineLevel="0" collapsed="false">
      <c r="A175" s="6" t="n">
        <v>81</v>
      </c>
      <c r="B175" s="6" t="n">
        <v>14</v>
      </c>
      <c r="C175" s="6" t="s">
        <v>439</v>
      </c>
      <c r="D175" s="9" t="str">
        <f aca="false">IFERROR(INDEX(exercicio!$B$2:$B$190,MATCH(A175,exercicio!$A$2:$A$190,0)),"")</f>
        <v>Agachamento no Smith</v>
      </c>
      <c r="E175" s="9" t="str">
        <f aca="false">IFERROR(INDEX(grupo_muscular!$C$2:$C$50,MATCH(B175,grupo_muscular!$A$2:$A$50,0)),"")</f>
        <v>Adutores</v>
      </c>
    </row>
    <row r="176" customFormat="false" ht="15" hidden="false" customHeight="false" outlineLevel="0" collapsed="false">
      <c r="A176" s="6" t="n">
        <v>81</v>
      </c>
      <c r="B176" s="6" t="n">
        <v>8</v>
      </c>
      <c r="C176" s="6" t="s">
        <v>439</v>
      </c>
      <c r="D176" s="9" t="str">
        <f aca="false">IFERROR(INDEX(exercicio!$B$2:$B$190,MATCH(A176,exercicio!$A$2:$A$190,0)),"")</f>
        <v>Agachamento no Smith</v>
      </c>
      <c r="E176" s="9" t="str">
        <f aca="false">IFERROR(INDEX(grupo_muscular!$C$2:$C$50,MATCH(B176,grupo_muscular!$A$2:$A$50,0)),"")</f>
        <v>Lombar</v>
      </c>
    </row>
    <row r="177" customFormat="false" ht="15" hidden="false" customHeight="false" outlineLevel="0" collapsed="false">
      <c r="A177" s="6" t="n">
        <v>82</v>
      </c>
      <c r="B177" s="6" t="n">
        <v>10</v>
      </c>
      <c r="C177" s="6" t="s">
        <v>438</v>
      </c>
      <c r="D177" s="9" t="str">
        <f aca="false">IFERROR(INDEX(exercicio!$B$2:$B$190,MATCH(A177,exercicio!$A$2:$A$190,0)),"")</f>
        <v>Agachamento Hack</v>
      </c>
      <c r="E177" s="9" t="str">
        <f aca="false">IFERROR(INDEX(grupo_muscular!$C$2:$C$50,MATCH(B177,grupo_muscular!$A$2:$A$50,0)),"")</f>
        <v>Quadríceps</v>
      </c>
    </row>
    <row r="178" customFormat="false" ht="15" hidden="false" customHeight="false" outlineLevel="0" collapsed="false">
      <c r="A178" s="6" t="n">
        <v>82</v>
      </c>
      <c r="B178" s="6" t="n">
        <v>12</v>
      </c>
      <c r="C178" s="6" t="s">
        <v>439</v>
      </c>
      <c r="D178" s="9" t="str">
        <f aca="false">IFERROR(INDEX(exercicio!$B$2:$B$190,MATCH(A178,exercicio!$A$2:$A$190,0)),"")</f>
        <v>Agachamento Hack</v>
      </c>
      <c r="E178" s="9" t="str">
        <f aca="false">IFERROR(INDEX(grupo_muscular!$C$2:$C$50,MATCH(B178,grupo_muscular!$A$2:$A$50,0)),"")</f>
        <v>Glúteos</v>
      </c>
    </row>
    <row r="179" customFormat="false" ht="15" hidden="false" customHeight="false" outlineLevel="0" collapsed="false">
      <c r="A179" s="6" t="n">
        <v>82</v>
      </c>
      <c r="B179" s="6" t="n">
        <v>14</v>
      </c>
      <c r="C179" s="6" t="s">
        <v>439</v>
      </c>
      <c r="D179" s="9" t="str">
        <f aca="false">IFERROR(INDEX(exercicio!$B$2:$B$190,MATCH(A179,exercicio!$A$2:$A$190,0)),"")</f>
        <v>Agachamento Hack</v>
      </c>
      <c r="E179" s="9" t="str">
        <f aca="false">IFERROR(INDEX(grupo_muscular!$C$2:$C$50,MATCH(B179,grupo_muscular!$A$2:$A$50,0)),"")</f>
        <v>Adutores</v>
      </c>
    </row>
    <row r="180" customFormat="false" ht="15" hidden="false" customHeight="false" outlineLevel="0" collapsed="false">
      <c r="A180" s="6" t="n">
        <v>83</v>
      </c>
      <c r="B180" s="6" t="n">
        <v>11</v>
      </c>
      <c r="C180" s="6" t="s">
        <v>438</v>
      </c>
      <c r="D180" s="9" t="str">
        <f aca="false">IFERROR(INDEX(exercicio!$B$2:$B$190,MATCH(A180,exercicio!$A$2:$A$190,0)),"")</f>
        <v>Mesa Flexora</v>
      </c>
      <c r="E180" s="9" t="str">
        <f aca="false">IFERROR(INDEX(grupo_muscular!$C$2:$C$50,MATCH(B180,grupo_muscular!$A$2:$A$50,0)),"")</f>
        <v>Posterior de coxa</v>
      </c>
    </row>
    <row r="181" customFormat="false" ht="15" hidden="false" customHeight="false" outlineLevel="0" collapsed="false">
      <c r="A181" s="6" t="n">
        <v>83</v>
      </c>
      <c r="B181" s="6" t="n">
        <v>13</v>
      </c>
      <c r="C181" s="6" t="s">
        <v>439</v>
      </c>
      <c r="D181" s="9" t="str">
        <f aca="false">IFERROR(INDEX(exercicio!$B$2:$B$190,MATCH(A181,exercicio!$A$2:$A$190,0)),"")</f>
        <v>Mesa Flexora</v>
      </c>
      <c r="E181" s="9" t="str">
        <f aca="false">IFERROR(INDEX(grupo_muscular!$C$2:$C$50,MATCH(B181,grupo_muscular!$A$2:$A$50,0)),"")</f>
        <v>Panturrilha</v>
      </c>
    </row>
    <row r="182" customFormat="false" ht="15" hidden="false" customHeight="false" outlineLevel="0" collapsed="false">
      <c r="A182" s="6" t="n">
        <v>84</v>
      </c>
      <c r="B182" s="6" t="n">
        <v>13</v>
      </c>
      <c r="C182" s="6" t="s">
        <v>438</v>
      </c>
      <c r="D182" s="9" t="str">
        <f aca="false">IFERROR(INDEX(exercicio!$B$2:$B$190,MATCH(A182,exercicio!$A$2:$A$190,0)),"")</f>
        <v>Elevação de Panturrilha Sentado</v>
      </c>
      <c r="E182" s="9" t="str">
        <f aca="false">IFERROR(INDEX(grupo_muscular!$C$2:$C$50,MATCH(B182,grupo_muscular!$A$2:$A$50,0)),"")</f>
        <v>Panturrilha</v>
      </c>
    </row>
    <row r="183" customFormat="false" ht="15" hidden="false" customHeight="false" outlineLevel="0" collapsed="false">
      <c r="A183" s="6" t="n">
        <v>85</v>
      </c>
      <c r="B183" s="6" t="n">
        <v>14</v>
      </c>
      <c r="C183" s="6" t="s">
        <v>438</v>
      </c>
      <c r="D183" s="9" t="str">
        <f aca="false">IFERROR(INDEX(exercicio!$B$2:$B$190,MATCH(A183,exercicio!$A$2:$A$190,0)),"")</f>
        <v>Cadeira Adutora</v>
      </c>
      <c r="E183" s="9" t="str">
        <f aca="false">IFERROR(INDEX(grupo_muscular!$C$2:$C$50,MATCH(B183,grupo_muscular!$A$2:$A$50,0)),"")</f>
        <v>Adutores</v>
      </c>
    </row>
    <row r="184" customFormat="false" ht="15" hidden="false" customHeight="false" outlineLevel="0" collapsed="false">
      <c r="A184" s="6" t="n">
        <v>86</v>
      </c>
      <c r="B184" s="6" t="n">
        <v>12</v>
      </c>
      <c r="C184" s="6" t="s">
        <v>438</v>
      </c>
      <c r="D184" s="9" t="str">
        <f aca="false">IFERROR(INDEX(exercicio!$B$2:$B$190,MATCH(A184,exercicio!$A$2:$A$190,0)),"")</f>
        <v>Cadeira Abdutora</v>
      </c>
      <c r="E184" s="9" t="str">
        <f aca="false">IFERROR(INDEX(grupo_muscular!$C$2:$C$50,MATCH(B184,grupo_muscular!$A$2:$A$50,0)),"")</f>
        <v>Glúteos</v>
      </c>
    </row>
    <row r="185" customFormat="false" ht="15" hidden="false" customHeight="false" outlineLevel="0" collapsed="false">
      <c r="A185" s="6" t="n">
        <v>87</v>
      </c>
      <c r="B185" s="6" t="n">
        <v>12</v>
      </c>
      <c r="C185" s="6" t="s">
        <v>438</v>
      </c>
      <c r="D185" s="9" t="str">
        <f aca="false">IFERROR(INDEX(exercicio!$B$2:$B$190,MATCH(A185,exercicio!$A$2:$A$190,0)),"")</f>
        <v>Abdução de Quadril Deitado de Lado</v>
      </c>
      <c r="E185" s="9" t="str">
        <f aca="false">IFERROR(INDEX(grupo_muscular!$C$2:$C$50,MATCH(B185,grupo_muscular!$A$2:$A$50,0)),"")</f>
        <v>Glúteos</v>
      </c>
    </row>
    <row r="186" customFormat="false" ht="15" hidden="false" customHeight="false" outlineLevel="0" collapsed="false">
      <c r="A186" s="6" t="n">
        <v>88</v>
      </c>
      <c r="B186" s="6" t="n">
        <v>14</v>
      </c>
      <c r="C186" s="6" t="s">
        <v>438</v>
      </c>
      <c r="D186" s="9" t="str">
        <f aca="false">IFERROR(INDEX(exercicio!$B$2:$B$190,MATCH(A186,exercicio!$A$2:$A$190,0)),"")</f>
        <v>Adução de Quadril Deitado de Lado</v>
      </c>
      <c r="E186" s="9" t="str">
        <f aca="false">IFERROR(INDEX(grupo_muscular!$C$2:$C$50,MATCH(B186,grupo_muscular!$A$2:$A$50,0)),"")</f>
        <v>Adutores</v>
      </c>
    </row>
    <row r="187" customFormat="false" ht="15" hidden="false" customHeight="false" outlineLevel="0" collapsed="false">
      <c r="A187" s="6" t="n">
        <v>89</v>
      </c>
      <c r="B187" s="6" t="n">
        <v>10</v>
      </c>
      <c r="C187" s="6" t="s">
        <v>438</v>
      </c>
      <c r="D187" s="9" t="str">
        <f aca="false">IFERROR(INDEX(exercicio!$B$2:$B$190,MATCH(A187,exercicio!$A$2:$A$190,0)),"")</f>
        <v>Afundo Lateral</v>
      </c>
      <c r="E187" s="9" t="str">
        <f aca="false">IFERROR(INDEX(grupo_muscular!$C$2:$C$50,MATCH(B187,grupo_muscular!$A$2:$A$50,0)),"")</f>
        <v>Quadríceps</v>
      </c>
    </row>
    <row r="188" customFormat="false" ht="15" hidden="false" customHeight="false" outlineLevel="0" collapsed="false">
      <c r="A188" s="6" t="n">
        <v>89</v>
      </c>
      <c r="B188" s="6" t="n">
        <v>12</v>
      </c>
      <c r="C188" s="6" t="s">
        <v>439</v>
      </c>
      <c r="D188" s="9" t="str">
        <f aca="false">IFERROR(INDEX(exercicio!$B$2:$B$190,MATCH(A188,exercicio!$A$2:$A$190,0)),"")</f>
        <v>Afundo Lateral</v>
      </c>
      <c r="E188" s="9" t="str">
        <f aca="false">IFERROR(INDEX(grupo_muscular!$C$2:$C$50,MATCH(B188,grupo_muscular!$A$2:$A$50,0)),"")</f>
        <v>Glúteos</v>
      </c>
    </row>
    <row r="189" customFormat="false" ht="15" hidden="false" customHeight="false" outlineLevel="0" collapsed="false">
      <c r="A189" s="6" t="n">
        <v>89</v>
      </c>
      <c r="B189" s="6" t="n">
        <v>14</v>
      </c>
      <c r="C189" s="6" t="s">
        <v>439</v>
      </c>
      <c r="D189" s="9" t="str">
        <f aca="false">IFERROR(INDEX(exercicio!$B$2:$B$190,MATCH(A189,exercicio!$A$2:$A$190,0)),"")</f>
        <v>Afundo Lateral</v>
      </c>
      <c r="E189" s="9" t="str">
        <f aca="false">IFERROR(INDEX(grupo_muscular!$C$2:$C$50,MATCH(B189,grupo_muscular!$A$2:$A$50,0)),"")</f>
        <v>Adutores</v>
      </c>
    </row>
  </sheetData>
  <autoFilter ref="A1:E189"/>
  <dataValidations count="1">
    <dataValidation allowBlank="false" errorStyle="stop" operator="between" showDropDown="false" showErrorMessage="false" showInputMessage="false" sqref="C2:C400" type="list">
      <formula1>"PRIMARIO,SECUNDARIO"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D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28"/>
  </cols>
  <sheetData>
    <row r="1" customFormat="false" ht="31.5" hidden="false" customHeight="true" outlineLevel="0" collapsed="false">
      <c r="A1" s="4" t="s">
        <v>422</v>
      </c>
      <c r="B1" s="4" t="s">
        <v>440</v>
      </c>
      <c r="C1" s="5" t="s">
        <v>425</v>
      </c>
      <c r="D1" s="5" t="s">
        <v>441</v>
      </c>
    </row>
    <row r="2" customFormat="false" ht="15" hidden="false" customHeight="false" outlineLevel="0" collapsed="false">
      <c r="A2" s="6" t="n">
        <v>1</v>
      </c>
      <c r="B2" s="6" t="n">
        <v>1</v>
      </c>
      <c r="C2" s="9" t="str">
        <f aca="false">IFERROR(INDEX(exercicio!$B$2:$B$190,MATCH(A2,exercicio!$A$2:$A$190,0)),"")</f>
        <v>Supino Reto com Barra</v>
      </c>
      <c r="D2" s="9" t="str">
        <f aca="false">IFERROR(INDEX(equipamento!$B$2:$B$50,MATCH(B2,equipamento!$A$2:$A$50,0)),"")</f>
        <v>Barra reta</v>
      </c>
    </row>
    <row r="3" customFormat="false" ht="15" hidden="false" customHeight="false" outlineLevel="0" collapsed="false">
      <c r="A3" s="6" t="n">
        <v>1</v>
      </c>
      <c r="B3" s="6" t="n">
        <v>3</v>
      </c>
      <c r="C3" s="9" t="str">
        <f aca="false">IFERROR(INDEX(exercicio!$B$2:$B$190,MATCH(A3,exercicio!$A$2:$A$190,0)),"")</f>
        <v>Supino Reto com Barra</v>
      </c>
      <c r="D3" s="9" t="str">
        <f aca="false">IFERROR(INDEX(equipamento!$B$2:$B$50,MATCH(B3,equipamento!$A$2:$A$50,0)),"")</f>
        <v>Banco reto</v>
      </c>
    </row>
    <row r="4" customFormat="false" ht="15" hidden="false" customHeight="false" outlineLevel="0" collapsed="false">
      <c r="A4" s="6" t="n">
        <v>2</v>
      </c>
      <c r="B4" s="6" t="n">
        <v>4</v>
      </c>
      <c r="C4" s="9" t="str">
        <f aca="false">IFERROR(INDEX(exercicio!$B$2:$B$190,MATCH(A4,exercicio!$A$2:$A$190,0)),"")</f>
        <v>Supino Inclinado com Halteres</v>
      </c>
      <c r="D4" s="9" t="str">
        <f aca="false">IFERROR(INDEX(equipamento!$B$2:$B$50,MATCH(B4,equipamento!$A$2:$A$50,0)),"")</f>
        <v>Banco ajustável</v>
      </c>
    </row>
    <row r="5" customFormat="false" ht="15" hidden="false" customHeight="false" outlineLevel="0" collapsed="false">
      <c r="A5" s="6" t="n">
        <v>2</v>
      </c>
      <c r="B5" s="6" t="n">
        <v>2</v>
      </c>
      <c r="C5" s="9" t="str">
        <f aca="false">IFERROR(INDEX(exercicio!$B$2:$B$190,MATCH(A5,exercicio!$A$2:$A$190,0)),"")</f>
        <v>Supino Inclinado com Halteres</v>
      </c>
      <c r="D5" s="9" t="str">
        <f aca="false">IFERROR(INDEX(equipamento!$B$2:$B$50,MATCH(B5,equipamento!$A$2:$A$50,0)),"")</f>
        <v>Halteres</v>
      </c>
    </row>
    <row r="6" customFormat="false" ht="15" hidden="false" customHeight="false" outlineLevel="0" collapsed="false">
      <c r="A6" s="6" t="n">
        <v>3</v>
      </c>
      <c r="B6" s="6" t="n">
        <v>12</v>
      </c>
      <c r="C6" s="9" t="str">
        <f aca="false">IFERROR(INDEX(exercicio!$B$2:$B$190,MATCH(A6,exercicio!$A$2:$A$190,0)),"")</f>
        <v>Voador Peitoral</v>
      </c>
      <c r="D6" s="9" t="str">
        <f aca="false">IFERROR(INDEX(equipamento!$B$2:$B$50,MATCH(B6,equipamento!$A$2:$A$50,0)),"")</f>
        <v>Peck deck</v>
      </c>
    </row>
    <row r="7" customFormat="false" ht="15" hidden="false" customHeight="false" outlineLevel="0" collapsed="false">
      <c r="A7" s="6" t="n">
        <v>7</v>
      </c>
      <c r="B7" s="6" t="n">
        <v>8</v>
      </c>
      <c r="C7" s="9" t="str">
        <f aca="false">IFERROR(INDEX(exercicio!$B$2:$B$190,MATCH(A7,exercicio!$A$2:$A$190,0)),"")</f>
        <v>Mergulho em Paralelas</v>
      </c>
      <c r="D7" s="9" t="str">
        <f aca="false">IFERROR(INDEX(equipamento!$B$2:$B$50,MATCH(B7,equipamento!$A$2:$A$50,0)),"")</f>
        <v>Barras paralelas</v>
      </c>
    </row>
    <row r="8" customFormat="false" ht="15" hidden="false" customHeight="false" outlineLevel="0" collapsed="false">
      <c r="A8" s="6" t="n">
        <v>11</v>
      </c>
      <c r="B8" s="6" t="n">
        <v>4</v>
      </c>
      <c r="C8" s="9" t="str">
        <f aca="false">IFERROR(INDEX(exercicio!$B$2:$B$190,MATCH(A8,exercicio!$A$2:$A$190,0)),"")</f>
        <v>Desenvolvimento com Halteres</v>
      </c>
      <c r="D8" s="9" t="str">
        <f aca="false">IFERROR(INDEX(equipamento!$B$2:$B$50,MATCH(B8,equipamento!$A$2:$A$50,0)),"")</f>
        <v>Banco ajustável</v>
      </c>
    </row>
    <row r="9" customFormat="false" ht="15" hidden="false" customHeight="false" outlineLevel="0" collapsed="false">
      <c r="A9" s="6" t="n">
        <v>11</v>
      </c>
      <c r="B9" s="6" t="n">
        <v>2</v>
      </c>
      <c r="C9" s="9" t="str">
        <f aca="false">IFERROR(INDEX(exercicio!$B$2:$B$190,MATCH(A9,exercicio!$A$2:$A$190,0)),"")</f>
        <v>Desenvolvimento com Halteres</v>
      </c>
      <c r="D9" s="9" t="str">
        <f aca="false">IFERROR(INDEX(equipamento!$B$2:$B$50,MATCH(B9,equipamento!$A$2:$A$50,0)),"")</f>
        <v>Halteres</v>
      </c>
    </row>
    <row r="10" customFormat="false" ht="15" hidden="false" customHeight="false" outlineLevel="0" collapsed="false">
      <c r="A10" s="6" t="n">
        <v>12</v>
      </c>
      <c r="B10" s="6" t="n">
        <v>11</v>
      </c>
      <c r="C10" s="9" t="str">
        <f aca="false">IFERROR(INDEX(exercicio!$B$2:$B$190,MATCH(A10,exercicio!$A$2:$A$190,0)),"")</f>
        <v>Elevação Lateral no Cabo</v>
      </c>
      <c r="D10" s="9" t="str">
        <f aca="false">IFERROR(INDEX(equipamento!$B$2:$B$50,MATCH(B10,equipamento!$A$2:$A$50,0)),"")</f>
        <v>Polia (cabo)</v>
      </c>
    </row>
    <row r="11" customFormat="false" ht="15" hidden="false" customHeight="false" outlineLevel="0" collapsed="false">
      <c r="A11" s="6" t="n">
        <v>13</v>
      </c>
      <c r="B11" s="6" t="n">
        <v>15</v>
      </c>
      <c r="C11" s="9" t="str">
        <f aca="false">IFERROR(INDEX(exercicio!$B$2:$B$190,MATCH(A11,exercicio!$A$2:$A$190,0)),"")</f>
        <v>Elevação Lateral na Máquina</v>
      </c>
      <c r="D11" s="9" t="str">
        <f aca="false">IFERROR(INDEX(equipamento!$B$2:$B$50,MATCH(B11,equipamento!$A$2:$A$50,0)),"")</f>
        <v>Máquina de elevação lateral</v>
      </c>
    </row>
    <row r="12" customFormat="false" ht="15" hidden="false" customHeight="false" outlineLevel="0" collapsed="false">
      <c r="A12" s="6" t="n">
        <v>14</v>
      </c>
      <c r="B12" s="6" t="n">
        <v>11</v>
      </c>
      <c r="C12" s="9" t="str">
        <f aca="false">IFERROR(INDEX(exercicio!$B$2:$B$190,MATCH(A12,exercicio!$A$2:$A$190,0)),"")</f>
        <v>Crucifixo Invertido na Polia</v>
      </c>
      <c r="D12" s="9" t="str">
        <f aca="false">IFERROR(INDEX(equipamento!$B$2:$B$50,MATCH(B12,equipamento!$A$2:$A$50,0)),"")</f>
        <v>Polia (cabo)</v>
      </c>
    </row>
    <row r="13" customFormat="false" ht="15" hidden="false" customHeight="false" outlineLevel="0" collapsed="false">
      <c r="A13" s="6" t="n">
        <v>17</v>
      </c>
      <c r="B13" s="6" t="n">
        <v>11</v>
      </c>
      <c r="C13" s="9" t="str">
        <f aca="false">IFERROR(INDEX(exercicio!$B$2:$B$190,MATCH(A13,exercicio!$A$2:$A$190,0)),"")</f>
        <v>Puxada Alta</v>
      </c>
      <c r="D13" s="9" t="str">
        <f aca="false">IFERROR(INDEX(equipamento!$B$2:$B$50,MATCH(B13,equipamento!$A$2:$A$50,0)),"")</f>
        <v>Polia (cabo)</v>
      </c>
    </row>
    <row r="14" customFormat="false" ht="15" hidden="false" customHeight="false" outlineLevel="0" collapsed="false">
      <c r="A14" s="6" t="n">
        <v>18</v>
      </c>
      <c r="B14" s="6" t="n">
        <v>11</v>
      </c>
      <c r="C14" s="9" t="str">
        <f aca="false">IFERROR(INDEX(exercicio!$B$2:$B$190,MATCH(A14,exercicio!$A$2:$A$190,0)),"")</f>
        <v>Remada Baixa</v>
      </c>
      <c r="D14" s="9" t="str">
        <f aca="false">IFERROR(INDEX(equipamento!$B$2:$B$50,MATCH(B14,equipamento!$A$2:$A$50,0)),"")</f>
        <v>Polia (cabo)</v>
      </c>
    </row>
    <row r="15" customFormat="false" ht="15" hidden="false" customHeight="false" outlineLevel="0" collapsed="false">
      <c r="A15" s="6" t="n">
        <v>19</v>
      </c>
      <c r="B15" s="6" t="n">
        <v>13</v>
      </c>
      <c r="C15" s="9" t="str">
        <f aca="false">IFERROR(INDEX(exercicio!$B$2:$B$190,MATCH(A15,exercicio!$A$2:$A$190,0)),"")</f>
        <v>Remada Unilateral Articulada</v>
      </c>
      <c r="D15" s="9" t="str">
        <f aca="false">IFERROR(INDEX(equipamento!$B$2:$B$50,MATCH(B15,equipamento!$A$2:$A$50,0)),"")</f>
        <v>Máquina de remada</v>
      </c>
    </row>
    <row r="16" customFormat="false" ht="15" hidden="false" customHeight="false" outlineLevel="0" collapsed="false">
      <c r="A16" s="6" t="n">
        <v>20</v>
      </c>
      <c r="B16" s="6" t="n">
        <v>11</v>
      </c>
      <c r="C16" s="9" t="str">
        <f aca="false">IFERROR(INDEX(exercicio!$B$2:$B$190,MATCH(A16,exercicio!$A$2:$A$190,0)),"")</f>
        <v>Puxada Unilateral na Polia</v>
      </c>
      <c r="D16" s="9" t="str">
        <f aca="false">IFERROR(INDEX(equipamento!$B$2:$B$50,MATCH(B16,equipamento!$A$2:$A$50,0)),"")</f>
        <v>Polia (cabo)</v>
      </c>
    </row>
    <row r="17" customFormat="false" ht="15" hidden="false" customHeight="false" outlineLevel="0" collapsed="false">
      <c r="A17" s="6" t="n">
        <v>21</v>
      </c>
      <c r="B17" s="6" t="n">
        <v>7</v>
      </c>
      <c r="C17" s="9" t="str">
        <f aca="false">IFERROR(INDEX(exercicio!$B$2:$B$190,MATCH(A17,exercicio!$A$2:$A$190,0)),"")</f>
        <v>Remada Invertida</v>
      </c>
      <c r="D17" s="9" t="str">
        <f aca="false">IFERROR(INDEX(equipamento!$B$2:$B$50,MATCH(B17,equipamento!$A$2:$A$50,0)),"")</f>
        <v>Barra fixa</v>
      </c>
    </row>
    <row r="18" customFormat="false" ht="15" hidden="false" customHeight="false" outlineLevel="0" collapsed="false">
      <c r="A18" s="6" t="n">
        <v>22</v>
      </c>
      <c r="B18" s="6" t="n">
        <v>7</v>
      </c>
      <c r="C18" s="9" t="str">
        <f aca="false">IFERROR(INDEX(exercicio!$B$2:$B$190,MATCH(A18,exercicio!$A$2:$A$190,0)),"")</f>
        <v>Barra Fixa</v>
      </c>
      <c r="D18" s="9" t="str">
        <f aca="false">IFERROR(INDEX(equipamento!$B$2:$B$50,MATCH(B18,equipamento!$A$2:$A$50,0)),"")</f>
        <v>Barra fixa</v>
      </c>
    </row>
    <row r="19" customFormat="false" ht="15" hidden="false" customHeight="false" outlineLevel="0" collapsed="false">
      <c r="A19" s="6" t="n">
        <v>23</v>
      </c>
      <c r="B19" s="6" t="n">
        <v>2</v>
      </c>
      <c r="C19" s="9" t="str">
        <f aca="false">IFERROR(INDEX(exercicio!$B$2:$B$190,MATCH(A19,exercicio!$A$2:$A$190,0)),"")</f>
        <v>Encolhimento com Halteres</v>
      </c>
      <c r="D19" s="9" t="str">
        <f aca="false">IFERROR(INDEX(equipamento!$B$2:$B$50,MATCH(B19,equipamento!$A$2:$A$50,0)),"")</f>
        <v>Halteres</v>
      </c>
    </row>
    <row r="20" customFormat="false" ht="15" hidden="false" customHeight="false" outlineLevel="0" collapsed="false">
      <c r="A20" s="6" t="n">
        <v>24</v>
      </c>
      <c r="B20" s="6" t="n">
        <v>1</v>
      </c>
      <c r="C20" s="9" t="str">
        <f aca="false">IFERROR(INDEX(exercicio!$B$2:$B$190,MATCH(A20,exercicio!$A$2:$A$190,0)),"")</f>
        <v>Encolhimento com Barra</v>
      </c>
      <c r="D20" s="9" t="str">
        <f aca="false">IFERROR(INDEX(equipamento!$B$2:$B$50,MATCH(B20,equipamento!$A$2:$A$50,0)),"")</f>
        <v>Barra reta</v>
      </c>
    </row>
    <row r="21" customFormat="false" ht="15" hidden="false" customHeight="false" outlineLevel="0" collapsed="false">
      <c r="A21" s="6" t="n">
        <v>27</v>
      </c>
      <c r="B21" s="6" t="n">
        <v>10</v>
      </c>
      <c r="C21" s="9" t="str">
        <f aca="false">IFERROR(INDEX(exercicio!$B$2:$B$190,MATCH(A21,exercicio!$A$2:$A$190,0)),"")</f>
        <v>Hiperextensão Lombar</v>
      </c>
      <c r="D21" s="9" t="str">
        <f aca="false">IFERROR(INDEX(equipamento!$B$2:$B$50,MATCH(B21,equipamento!$A$2:$A$50,0)),"")</f>
        <v>Banco romano</v>
      </c>
    </row>
    <row r="22" customFormat="false" ht="15" hidden="false" customHeight="false" outlineLevel="0" collapsed="false">
      <c r="A22" s="6" t="n">
        <v>28</v>
      </c>
      <c r="B22" s="6" t="n">
        <v>1</v>
      </c>
      <c r="C22" s="9" t="str">
        <f aca="false">IFERROR(INDEX(exercicio!$B$2:$B$190,MATCH(A22,exercicio!$A$2:$A$190,0)),"")</f>
        <v>Good Morning</v>
      </c>
      <c r="D22" s="9" t="str">
        <f aca="false">IFERROR(INDEX(equipamento!$B$2:$B$50,MATCH(B22,equipamento!$A$2:$A$50,0)),"")</f>
        <v>Barra reta</v>
      </c>
    </row>
    <row r="23" customFormat="false" ht="15" hidden="false" customHeight="false" outlineLevel="0" collapsed="false">
      <c r="A23" s="6" t="n">
        <v>30</v>
      </c>
      <c r="B23" s="6" t="n">
        <v>11</v>
      </c>
      <c r="C23" s="9" t="str">
        <f aca="false">IFERROR(INDEX(exercicio!$B$2:$B$190,MATCH(A23,exercicio!$A$2:$A$190,0)),"")</f>
        <v>Rosca Direta na Polia Baixa</v>
      </c>
      <c r="D23" s="9" t="str">
        <f aca="false">IFERROR(INDEX(equipamento!$B$2:$B$50,MATCH(B23,equipamento!$A$2:$A$50,0)),"")</f>
        <v>Polia (cabo)</v>
      </c>
    </row>
    <row r="24" customFormat="false" ht="15" hidden="false" customHeight="false" outlineLevel="0" collapsed="false">
      <c r="A24" s="6" t="n">
        <v>31</v>
      </c>
      <c r="B24" s="6" t="n">
        <v>14</v>
      </c>
      <c r="C24" s="9" t="str">
        <f aca="false">IFERROR(INDEX(exercicio!$B$2:$B$190,MATCH(A24,exercicio!$A$2:$A$190,0)),"")</f>
        <v>Rosca Scott na Máquina</v>
      </c>
      <c r="D24" s="9" t="str">
        <f aca="false">IFERROR(INDEX(equipamento!$B$2:$B$50,MATCH(B24,equipamento!$A$2:$A$50,0)),"")</f>
        <v>Máquina de rosca Scott</v>
      </c>
    </row>
    <row r="25" customFormat="false" ht="15" hidden="false" customHeight="false" outlineLevel="0" collapsed="false">
      <c r="A25" s="6" t="n">
        <v>32</v>
      </c>
      <c r="B25" s="6" t="n">
        <v>4</v>
      </c>
      <c r="C25" s="9" t="str">
        <f aca="false">IFERROR(INDEX(exercicio!$B$2:$B$190,MATCH(A25,exercicio!$A$2:$A$190,0)),"")</f>
        <v>Rosca Inclinada com Halteres</v>
      </c>
      <c r="D25" s="9" t="str">
        <f aca="false">IFERROR(INDEX(equipamento!$B$2:$B$50,MATCH(B25,equipamento!$A$2:$A$50,0)),"")</f>
        <v>Banco ajustável</v>
      </c>
    </row>
    <row r="26" customFormat="false" ht="15" hidden="false" customHeight="false" outlineLevel="0" collapsed="false">
      <c r="A26" s="6" t="n">
        <v>32</v>
      </c>
      <c r="B26" s="6" t="n">
        <v>2</v>
      </c>
      <c r="C26" s="9" t="str">
        <f aca="false">IFERROR(INDEX(exercicio!$B$2:$B$190,MATCH(A26,exercicio!$A$2:$A$190,0)),"")</f>
        <v>Rosca Inclinada com Halteres</v>
      </c>
      <c r="D26" s="9" t="str">
        <f aca="false">IFERROR(INDEX(equipamento!$B$2:$B$50,MATCH(B26,equipamento!$A$2:$A$50,0)),"")</f>
        <v>Halteres</v>
      </c>
    </row>
    <row r="27" customFormat="false" ht="15" hidden="false" customHeight="false" outlineLevel="0" collapsed="false">
      <c r="A27" s="6" t="n">
        <v>33</v>
      </c>
      <c r="B27" s="6" t="n">
        <v>5</v>
      </c>
      <c r="C27" s="9" t="str">
        <f aca="false">IFERROR(INDEX(exercicio!$B$2:$B$190,MATCH(A27,exercicio!$A$2:$A$190,0)),"")</f>
        <v>Rosca Scott com Halteres</v>
      </c>
      <c r="D27" s="9" t="str">
        <f aca="false">IFERROR(INDEX(equipamento!$B$2:$B$50,MATCH(B27,equipamento!$A$2:$A$50,0)),"")</f>
        <v>Banco Scott</v>
      </c>
    </row>
    <row r="28" customFormat="false" ht="15" hidden="false" customHeight="false" outlineLevel="0" collapsed="false">
      <c r="A28" s="6" t="n">
        <v>33</v>
      </c>
      <c r="B28" s="6" t="n">
        <v>2</v>
      </c>
      <c r="C28" s="9" t="str">
        <f aca="false">IFERROR(INDEX(exercicio!$B$2:$B$190,MATCH(A28,exercicio!$A$2:$A$190,0)),"")</f>
        <v>Rosca Scott com Halteres</v>
      </c>
      <c r="D28" s="9" t="str">
        <f aca="false">IFERROR(INDEX(equipamento!$B$2:$B$50,MATCH(B28,equipamento!$A$2:$A$50,0)),"")</f>
        <v>Halteres</v>
      </c>
    </row>
    <row r="29" customFormat="false" ht="15" hidden="false" customHeight="false" outlineLevel="0" collapsed="false">
      <c r="A29" s="6" t="n">
        <v>35</v>
      </c>
      <c r="B29" s="6" t="n">
        <v>11</v>
      </c>
      <c r="C29" s="9" t="str">
        <f aca="false">IFERROR(INDEX(exercicio!$B$2:$B$190,MATCH(A29,exercicio!$A$2:$A$190,0)),"")</f>
        <v>Tríceps Pulley</v>
      </c>
      <c r="D29" s="9" t="str">
        <f aca="false">IFERROR(INDEX(equipamento!$B$2:$B$50,MATCH(B29,equipamento!$A$2:$A$50,0)),"")</f>
        <v>Polia (cabo)</v>
      </c>
    </row>
    <row r="30" customFormat="false" ht="15" hidden="false" customHeight="false" outlineLevel="0" collapsed="false">
      <c r="A30" s="6" t="n">
        <v>36</v>
      </c>
      <c r="B30" s="6" t="n">
        <v>11</v>
      </c>
      <c r="C30" s="9" t="str">
        <f aca="false">IFERROR(INDEX(exercicio!$B$2:$B$190,MATCH(A30,exercicio!$A$2:$A$190,0)),"")</f>
        <v>Tríceps Testa na Polia</v>
      </c>
      <c r="D30" s="9" t="str">
        <f aca="false">IFERROR(INDEX(equipamento!$B$2:$B$50,MATCH(B30,equipamento!$A$2:$A$50,0)),"")</f>
        <v>Polia (cabo)</v>
      </c>
    </row>
    <row r="31" customFormat="false" ht="15" hidden="false" customHeight="false" outlineLevel="0" collapsed="false">
      <c r="A31" s="6" t="n">
        <v>36</v>
      </c>
      <c r="B31" s="6" t="n">
        <v>3</v>
      </c>
      <c r="C31" s="9" t="str">
        <f aca="false">IFERROR(INDEX(exercicio!$B$2:$B$190,MATCH(A31,exercicio!$A$2:$A$190,0)),"")</f>
        <v>Tríceps Testa na Polia</v>
      </c>
      <c r="D31" s="9" t="str">
        <f aca="false">IFERROR(INDEX(equipamento!$B$2:$B$50,MATCH(B31,equipamento!$A$2:$A$50,0)),"")</f>
        <v>Banco reto</v>
      </c>
    </row>
    <row r="32" customFormat="false" ht="15" hidden="false" customHeight="false" outlineLevel="0" collapsed="false">
      <c r="A32" s="6" t="n">
        <v>37</v>
      </c>
      <c r="B32" s="6" t="n">
        <v>11</v>
      </c>
      <c r="C32" s="9" t="str">
        <f aca="false">IFERROR(INDEX(exercicio!$B$2:$B$190,MATCH(A32,exercicio!$A$2:$A$190,0)),"")</f>
        <v>Tríceps Francês na Polia</v>
      </c>
      <c r="D32" s="9" t="str">
        <f aca="false">IFERROR(INDEX(equipamento!$B$2:$B$50,MATCH(B32,equipamento!$A$2:$A$50,0)),"")</f>
        <v>Polia (cabo)</v>
      </c>
    </row>
    <row r="33" customFormat="false" ht="15" hidden="false" customHeight="false" outlineLevel="0" collapsed="false">
      <c r="A33" s="6" t="n">
        <v>38</v>
      </c>
      <c r="B33" s="6" t="n">
        <v>2</v>
      </c>
      <c r="C33" s="9" t="str">
        <f aca="false">IFERROR(INDEX(exercicio!$B$2:$B$190,MATCH(A33,exercicio!$A$2:$A$190,0)),"")</f>
        <v>Rosca de Punho com Halteres</v>
      </c>
      <c r="D33" s="9" t="str">
        <f aca="false">IFERROR(INDEX(equipamento!$B$2:$B$50,MATCH(B33,equipamento!$A$2:$A$50,0)),"")</f>
        <v>Halteres</v>
      </c>
    </row>
    <row r="34" customFormat="false" ht="15" hidden="false" customHeight="false" outlineLevel="0" collapsed="false">
      <c r="A34" s="6" t="n">
        <v>38</v>
      </c>
      <c r="B34" s="6" t="n">
        <v>3</v>
      </c>
      <c r="C34" s="9" t="str">
        <f aca="false">IFERROR(INDEX(exercicio!$B$2:$B$190,MATCH(A34,exercicio!$A$2:$A$190,0)),"")</f>
        <v>Rosca de Punho com Halteres</v>
      </c>
      <c r="D34" s="9" t="str">
        <f aca="false">IFERROR(INDEX(equipamento!$B$2:$B$50,MATCH(B34,equipamento!$A$2:$A$50,0)),"")</f>
        <v>Banco reto</v>
      </c>
    </row>
    <row r="35" customFormat="false" ht="15" hidden="false" customHeight="false" outlineLevel="0" collapsed="false">
      <c r="A35" s="6" t="n">
        <v>39</v>
      </c>
      <c r="B35" s="6" t="n">
        <v>1</v>
      </c>
      <c r="C35" s="9" t="str">
        <f aca="false">IFERROR(INDEX(exercicio!$B$2:$B$190,MATCH(A35,exercicio!$A$2:$A$190,0)),"")</f>
        <v>Rosca de Punho com Barra</v>
      </c>
      <c r="D35" s="9" t="str">
        <f aca="false">IFERROR(INDEX(equipamento!$B$2:$B$50,MATCH(B35,equipamento!$A$2:$A$50,0)),"")</f>
        <v>Barra reta</v>
      </c>
    </row>
    <row r="36" customFormat="false" ht="15" hidden="false" customHeight="false" outlineLevel="0" collapsed="false">
      <c r="A36" s="6" t="n">
        <v>40</v>
      </c>
      <c r="B36" s="6" t="n">
        <v>2</v>
      </c>
      <c r="C36" s="9" t="str">
        <f aca="false">IFERROR(INDEX(exercicio!$B$2:$B$190,MATCH(A36,exercicio!$A$2:$A$190,0)),"")</f>
        <v>Rosca de Punho Reversa com Halteres</v>
      </c>
      <c r="D36" s="9" t="str">
        <f aca="false">IFERROR(INDEX(equipamento!$B$2:$B$50,MATCH(B36,equipamento!$A$2:$A$50,0)),"")</f>
        <v>Halteres</v>
      </c>
    </row>
    <row r="37" customFormat="false" ht="15" hidden="false" customHeight="false" outlineLevel="0" collapsed="false">
      <c r="A37" s="6" t="n">
        <v>40</v>
      </c>
      <c r="B37" s="6" t="n">
        <v>3</v>
      </c>
      <c r="C37" s="9" t="str">
        <f aca="false">IFERROR(INDEX(exercicio!$B$2:$B$190,MATCH(A37,exercicio!$A$2:$A$190,0)),"")</f>
        <v>Rosca de Punho Reversa com Halteres</v>
      </c>
      <c r="D37" s="9" t="str">
        <f aca="false">IFERROR(INDEX(equipamento!$B$2:$B$50,MATCH(B37,equipamento!$A$2:$A$50,0)),"")</f>
        <v>Banco reto</v>
      </c>
    </row>
    <row r="38" customFormat="false" ht="15" hidden="false" customHeight="false" outlineLevel="0" collapsed="false">
      <c r="A38" s="6" t="n">
        <v>41</v>
      </c>
      <c r="B38" s="6" t="n">
        <v>7</v>
      </c>
      <c r="C38" s="9" t="str">
        <f aca="false">IFERROR(INDEX(exercicio!$B$2:$B$190,MATCH(A38,exercicio!$A$2:$A$190,0)),"")</f>
        <v>Suspensão na Barra</v>
      </c>
      <c r="D38" s="9" t="str">
        <f aca="false">IFERROR(INDEX(equipamento!$B$2:$B$50,MATCH(B38,equipamento!$A$2:$A$50,0)),"")</f>
        <v>Barra fixa</v>
      </c>
    </row>
    <row r="39" customFormat="false" ht="15" hidden="false" customHeight="false" outlineLevel="0" collapsed="false">
      <c r="A39" s="6" t="n">
        <v>42</v>
      </c>
      <c r="B39" s="6" t="n">
        <v>2</v>
      </c>
      <c r="C39" s="9" t="str">
        <f aca="false">IFERROR(INDEX(exercicio!$B$2:$B$190,MATCH(A39,exercicio!$A$2:$A$190,0)),"")</f>
        <v>Caminhada do Fazendeiro</v>
      </c>
      <c r="D39" s="9" t="str">
        <f aca="false">IFERROR(INDEX(equipamento!$B$2:$B$50,MATCH(B39,equipamento!$A$2:$A$50,0)),"")</f>
        <v>Halteres</v>
      </c>
    </row>
    <row r="40" customFormat="false" ht="15" hidden="false" customHeight="false" outlineLevel="0" collapsed="false">
      <c r="A40" s="6" t="n">
        <v>43</v>
      </c>
      <c r="B40" s="6" t="n">
        <v>16</v>
      </c>
      <c r="C40" s="9" t="str">
        <f aca="false">IFERROR(INDEX(exercicio!$B$2:$B$190,MATCH(A40,exercicio!$A$2:$A$190,0)),"")</f>
        <v>Cadeira Extensora</v>
      </c>
      <c r="D40" s="9" t="str">
        <f aca="false">IFERROR(INDEX(equipamento!$B$2:$B$50,MATCH(B40,equipamento!$A$2:$A$50,0)),"")</f>
        <v>Cadeira extensora</v>
      </c>
    </row>
    <row r="41" customFormat="false" ht="15" hidden="false" customHeight="false" outlineLevel="0" collapsed="false">
      <c r="A41" s="6" t="n">
        <v>44</v>
      </c>
      <c r="B41" s="6" t="n">
        <v>18</v>
      </c>
      <c r="C41" s="9" t="str">
        <f aca="false">IFERROR(INDEX(exercicio!$B$2:$B$190,MATCH(A41,exercicio!$A$2:$A$190,0)),"")</f>
        <v>Leg Press</v>
      </c>
      <c r="D41" s="9" t="str">
        <f aca="false">IFERROR(INDEX(equipamento!$B$2:$B$50,MATCH(B41,equipamento!$A$2:$A$50,0)),"")</f>
        <v>Leg press</v>
      </c>
    </row>
    <row r="42" customFormat="false" ht="15" hidden="false" customHeight="false" outlineLevel="0" collapsed="false">
      <c r="A42" s="6" t="n">
        <v>45</v>
      </c>
      <c r="B42" s="6" t="n">
        <v>1</v>
      </c>
      <c r="C42" s="9" t="str">
        <f aca="false">IFERROR(INDEX(exercicio!$B$2:$B$190,MATCH(A42,exercicio!$A$2:$A$190,0)),"")</f>
        <v>Agachamento Livre com Barra</v>
      </c>
      <c r="D42" s="9" t="str">
        <f aca="false">IFERROR(INDEX(equipamento!$B$2:$B$50,MATCH(B42,equipamento!$A$2:$A$50,0)),"")</f>
        <v>Barra reta</v>
      </c>
    </row>
    <row r="43" customFormat="false" ht="15" hidden="false" customHeight="false" outlineLevel="0" collapsed="false">
      <c r="A43" s="6" t="n">
        <v>48</v>
      </c>
      <c r="B43" s="6" t="n">
        <v>3</v>
      </c>
      <c r="C43" s="9" t="str">
        <f aca="false">IFERROR(INDEX(exercicio!$B$2:$B$190,MATCH(A43,exercicio!$A$2:$A$190,0)),"")</f>
        <v>Agachamento Búlgaro</v>
      </c>
      <c r="D43" s="9" t="str">
        <f aca="false">IFERROR(INDEX(equipamento!$B$2:$B$50,MATCH(B43,equipamento!$A$2:$A$50,0)),"")</f>
        <v>Banco reto</v>
      </c>
    </row>
    <row r="44" customFormat="false" ht="15" hidden="false" customHeight="false" outlineLevel="0" collapsed="false">
      <c r="A44" s="6" t="n">
        <v>49</v>
      </c>
      <c r="B44" s="6" t="n">
        <v>17</v>
      </c>
      <c r="C44" s="9" t="str">
        <f aca="false">IFERROR(INDEX(exercicio!$B$2:$B$190,MATCH(A44,exercicio!$A$2:$A$190,0)),"")</f>
        <v>Cadeira Flexora</v>
      </c>
      <c r="D44" s="9" t="str">
        <f aca="false">IFERROR(INDEX(equipamento!$B$2:$B$50,MATCH(B44,equipamento!$A$2:$A$50,0)),"")</f>
        <v>Cadeira flexora</v>
      </c>
    </row>
    <row r="45" customFormat="false" ht="15" hidden="false" customHeight="false" outlineLevel="0" collapsed="false">
      <c r="A45" s="6" t="n">
        <v>50</v>
      </c>
      <c r="B45" s="6" t="n">
        <v>1</v>
      </c>
      <c r="C45" s="9" t="str">
        <f aca="false">IFERROR(INDEX(exercicio!$B$2:$B$190,MATCH(A45,exercicio!$A$2:$A$190,0)),"")</f>
        <v>Stiff</v>
      </c>
      <c r="D45" s="9" t="str">
        <f aca="false">IFERROR(INDEX(equipamento!$B$2:$B$50,MATCH(B45,equipamento!$A$2:$A$50,0)),"")</f>
        <v>Barra reta</v>
      </c>
    </row>
    <row r="46" customFormat="false" ht="15" hidden="false" customHeight="false" outlineLevel="0" collapsed="false">
      <c r="A46" s="6" t="n">
        <v>52</v>
      </c>
      <c r="B46" s="6" t="n">
        <v>1</v>
      </c>
      <c r="C46" s="9" t="str">
        <f aca="false">IFERROR(INDEX(exercicio!$B$2:$B$190,MATCH(A46,exercicio!$A$2:$A$190,0)),"")</f>
        <v>Levantamento Terra</v>
      </c>
      <c r="D46" s="9" t="str">
        <f aca="false">IFERROR(INDEX(equipamento!$B$2:$B$50,MATCH(B46,equipamento!$A$2:$A$50,0)),"")</f>
        <v>Barra reta</v>
      </c>
    </row>
    <row r="47" customFormat="false" ht="15" hidden="false" customHeight="false" outlineLevel="0" collapsed="false">
      <c r="A47" s="6" t="n">
        <v>54</v>
      </c>
      <c r="B47" s="6" t="n">
        <v>1</v>
      </c>
      <c r="C47" s="9" t="str">
        <f aca="false">IFERROR(INDEX(exercicio!$B$2:$B$190,MATCH(A47,exercicio!$A$2:$A$190,0)),"")</f>
        <v>Elevação Pélvica com Barra</v>
      </c>
      <c r="D47" s="9" t="str">
        <f aca="false">IFERROR(INDEX(equipamento!$B$2:$B$50,MATCH(B47,equipamento!$A$2:$A$50,0)),"")</f>
        <v>Barra reta</v>
      </c>
    </row>
    <row r="48" customFormat="false" ht="15" hidden="false" customHeight="false" outlineLevel="0" collapsed="false">
      <c r="A48" s="6" t="n">
        <v>54</v>
      </c>
      <c r="B48" s="6" t="n">
        <v>3</v>
      </c>
      <c r="C48" s="9" t="str">
        <f aca="false">IFERROR(INDEX(exercicio!$B$2:$B$190,MATCH(A48,exercicio!$A$2:$A$190,0)),"")</f>
        <v>Elevação Pélvica com Barra</v>
      </c>
      <c r="D48" s="9" t="str">
        <f aca="false">IFERROR(INDEX(equipamento!$B$2:$B$50,MATCH(B48,equipamento!$A$2:$A$50,0)),"")</f>
        <v>Banco reto</v>
      </c>
    </row>
    <row r="49" customFormat="false" ht="15" hidden="false" customHeight="false" outlineLevel="0" collapsed="false">
      <c r="A49" s="6" t="n">
        <v>57</v>
      </c>
      <c r="B49" s="6" t="n">
        <v>19</v>
      </c>
      <c r="C49" s="9" t="str">
        <f aca="false">IFERROR(INDEX(exercicio!$B$2:$B$190,MATCH(A49,exercicio!$A$2:$A$190,0)),"")</f>
        <v>Elevação de Panturrilha em Pé na Máquina</v>
      </c>
      <c r="D49" s="9" t="str">
        <f aca="false">IFERROR(INDEX(equipamento!$B$2:$B$50,MATCH(B49,equipamento!$A$2:$A$50,0)),"")</f>
        <v>Máquina de panturrilha em pé</v>
      </c>
    </row>
    <row r="50" customFormat="false" ht="15" hidden="false" customHeight="false" outlineLevel="0" collapsed="false">
      <c r="A50" s="6" t="n">
        <v>58</v>
      </c>
      <c r="B50" s="6" t="n">
        <v>1</v>
      </c>
      <c r="C50" s="9" t="str">
        <f aca="false">IFERROR(INDEX(exercicio!$B$2:$B$190,MATCH(A50,exercicio!$A$2:$A$190,0)),"")</f>
        <v>Elevação de Panturrilha com Barra</v>
      </c>
      <c r="D50" s="9" t="str">
        <f aca="false">IFERROR(INDEX(equipamento!$B$2:$B$50,MATCH(B50,equipamento!$A$2:$A$50,0)),"")</f>
        <v>Barra reta</v>
      </c>
    </row>
    <row r="51" customFormat="false" ht="15" hidden="false" customHeight="false" outlineLevel="0" collapsed="false">
      <c r="A51" s="6" t="n">
        <v>63</v>
      </c>
      <c r="B51" s="6" t="n">
        <v>11</v>
      </c>
      <c r="C51" s="9" t="str">
        <f aca="false">IFERROR(INDEX(exercicio!$B$2:$B$190,MATCH(A51,exercicio!$A$2:$A$190,0)),"")</f>
        <v>Abdominal na Polia Alta</v>
      </c>
      <c r="D51" s="9" t="str">
        <f aca="false">IFERROR(INDEX(equipamento!$B$2:$B$50,MATCH(B51,equipamento!$A$2:$A$50,0)),"")</f>
        <v>Polia (cabo)</v>
      </c>
    </row>
    <row r="52" customFormat="false" ht="15" hidden="false" customHeight="false" outlineLevel="0" collapsed="false">
      <c r="A52" s="6" t="n">
        <v>64</v>
      </c>
      <c r="B52" s="6" t="n">
        <v>20</v>
      </c>
      <c r="C52" s="9" t="str">
        <f aca="false">IFERROR(INDEX(exercicio!$B$2:$B$190,MATCH(A52,exercicio!$A$2:$A$190,0)),"")</f>
        <v>Abdominal na Máquina</v>
      </c>
      <c r="D52" s="9" t="str">
        <f aca="false">IFERROR(INDEX(equipamento!$B$2:$B$50,MATCH(B52,equipamento!$A$2:$A$50,0)),"")</f>
        <v>Máquina de abdominal</v>
      </c>
    </row>
    <row r="53" customFormat="false" ht="15" hidden="false" customHeight="false" outlineLevel="0" collapsed="false">
      <c r="A53" s="6" t="n">
        <v>65</v>
      </c>
      <c r="B53" s="6" t="n">
        <v>6</v>
      </c>
      <c r="C53" s="9" t="str">
        <f aca="false">IFERROR(INDEX(exercicio!$B$2:$B$190,MATCH(A53,exercicio!$A$2:$A$190,0)),"")</f>
        <v>Rolamento com Roda Abdominal</v>
      </c>
      <c r="D53" s="9" t="str">
        <f aca="false">IFERROR(INDEX(equipamento!$B$2:$B$50,MATCH(B53,equipamento!$A$2:$A$50,0)),"")</f>
        <v>Roda abdominal</v>
      </c>
    </row>
    <row r="54" customFormat="false" ht="15" hidden="false" customHeight="false" outlineLevel="0" collapsed="false">
      <c r="A54" s="6" t="n">
        <v>66</v>
      </c>
      <c r="B54" s="6" t="n">
        <v>9</v>
      </c>
      <c r="C54" s="9" t="str">
        <f aca="false">IFERROR(INDEX(exercicio!$B$2:$B$190,MATCH(A54,exercicio!$A$2:$A$190,0)),"")</f>
        <v>Elevação de Pernas na Cadeira Capitão</v>
      </c>
      <c r="D54" s="9" t="str">
        <f aca="false">IFERROR(INDEX(equipamento!$B$2:$B$50,MATCH(B54,equipamento!$A$2:$A$50,0)),"")</f>
        <v>Cadeira capitão</v>
      </c>
    </row>
    <row r="55" customFormat="false" ht="15" hidden="false" customHeight="false" outlineLevel="0" collapsed="false">
      <c r="A55" s="6" t="n">
        <v>67</v>
      </c>
      <c r="B55" s="6" t="n">
        <v>2</v>
      </c>
      <c r="C55" s="9" t="str">
        <f aca="false">IFERROR(INDEX(exercicio!$B$2:$B$190,MATCH(A55,exercicio!$A$2:$A$190,0)),"")</f>
        <v>Supino Reto com Halteres</v>
      </c>
      <c r="D55" s="9" t="str">
        <f aca="false">IFERROR(INDEX(equipamento!$B$2:$B$50,MATCH(B55,equipamento!$A$2:$A$50,0)),"")</f>
        <v>Halteres</v>
      </c>
    </row>
    <row r="56" customFormat="false" ht="15" hidden="false" customHeight="false" outlineLevel="0" collapsed="false">
      <c r="A56" s="6" t="n">
        <v>67</v>
      </c>
      <c r="B56" s="6" t="n">
        <v>3</v>
      </c>
      <c r="C56" s="9" t="str">
        <f aca="false">IFERROR(INDEX(exercicio!$B$2:$B$190,MATCH(A56,exercicio!$A$2:$A$190,0)),"")</f>
        <v>Supino Reto com Halteres</v>
      </c>
      <c r="D56" s="9" t="str">
        <f aca="false">IFERROR(INDEX(equipamento!$B$2:$B$50,MATCH(B56,equipamento!$A$2:$A$50,0)),"")</f>
        <v>Banco reto</v>
      </c>
    </row>
    <row r="57" customFormat="false" ht="15" hidden="false" customHeight="false" outlineLevel="0" collapsed="false">
      <c r="A57" s="6" t="n">
        <v>68</v>
      </c>
      <c r="B57" s="6" t="n">
        <v>1</v>
      </c>
      <c r="C57" s="9" t="str">
        <f aca="false">IFERROR(INDEX(exercicio!$B$2:$B$190,MATCH(A57,exercicio!$A$2:$A$190,0)),"")</f>
        <v>Supino Inclinado com Barra</v>
      </c>
      <c r="D57" s="9" t="str">
        <f aca="false">IFERROR(INDEX(equipamento!$B$2:$B$50,MATCH(B57,equipamento!$A$2:$A$50,0)),"")</f>
        <v>Barra reta</v>
      </c>
    </row>
    <row r="58" customFormat="false" ht="15" hidden="false" customHeight="false" outlineLevel="0" collapsed="false">
      <c r="A58" s="6" t="n">
        <v>68</v>
      </c>
      <c r="B58" s="6" t="n">
        <v>4</v>
      </c>
      <c r="C58" s="9" t="str">
        <f aca="false">IFERROR(INDEX(exercicio!$B$2:$B$190,MATCH(A58,exercicio!$A$2:$A$190,0)),"")</f>
        <v>Supino Inclinado com Barra</v>
      </c>
      <c r="D58" s="9" t="str">
        <f aca="false">IFERROR(INDEX(equipamento!$B$2:$B$50,MATCH(B58,equipamento!$A$2:$A$50,0)),"")</f>
        <v>Banco ajustável</v>
      </c>
    </row>
    <row r="59" customFormat="false" ht="15" hidden="false" customHeight="false" outlineLevel="0" collapsed="false">
      <c r="A59" s="6" t="n">
        <v>69</v>
      </c>
      <c r="B59" s="6" t="n">
        <v>23</v>
      </c>
      <c r="C59" s="9" t="str">
        <f aca="false">IFERROR(INDEX(exercicio!$B$2:$B$190,MATCH(A59,exercicio!$A$2:$A$190,0)),"")</f>
        <v>Supino na Máquina</v>
      </c>
      <c r="D59" s="9" t="str">
        <f aca="false">IFERROR(INDEX(equipamento!$B$2:$B$50,MATCH(B59,equipamento!$A$2:$A$50,0)),"")</f>
        <v>Máquina de supino</v>
      </c>
    </row>
    <row r="60" customFormat="false" ht="15" hidden="false" customHeight="false" outlineLevel="0" collapsed="false">
      <c r="A60" s="6" t="n">
        <v>70</v>
      </c>
      <c r="B60" s="6" t="n">
        <v>24</v>
      </c>
      <c r="C60" s="9" t="str">
        <f aca="false">IFERROR(INDEX(exercicio!$B$2:$B$190,MATCH(A60,exercicio!$A$2:$A$190,0)),"")</f>
        <v>Supino Inclinado na Máquina</v>
      </c>
      <c r="D60" s="9" t="str">
        <f aca="false">IFERROR(INDEX(equipamento!$B$2:$B$50,MATCH(B60,equipamento!$A$2:$A$50,0)),"")</f>
        <v>Máquina de supino inclinado</v>
      </c>
    </row>
    <row r="61" customFormat="false" ht="15" hidden="false" customHeight="false" outlineLevel="0" collapsed="false">
      <c r="A61" s="6" t="n">
        <v>71</v>
      </c>
      <c r="B61" s="6" t="n">
        <v>2</v>
      </c>
      <c r="C61" s="9" t="str">
        <f aca="false">IFERROR(INDEX(exercicio!$B$2:$B$190,MATCH(A61,exercicio!$A$2:$A$190,0)),"")</f>
        <v>Crucifixo Reto com Halteres</v>
      </c>
      <c r="D61" s="9" t="str">
        <f aca="false">IFERROR(INDEX(equipamento!$B$2:$B$50,MATCH(B61,equipamento!$A$2:$A$50,0)),"")</f>
        <v>Halteres</v>
      </c>
    </row>
    <row r="62" customFormat="false" ht="15" hidden="false" customHeight="false" outlineLevel="0" collapsed="false">
      <c r="A62" s="6" t="n">
        <v>71</v>
      </c>
      <c r="B62" s="6" t="n">
        <v>3</v>
      </c>
      <c r="C62" s="9" t="str">
        <f aca="false">IFERROR(INDEX(exercicio!$B$2:$B$190,MATCH(A62,exercicio!$A$2:$A$190,0)),"")</f>
        <v>Crucifixo Reto com Halteres</v>
      </c>
      <c r="D62" s="9" t="str">
        <f aca="false">IFERROR(INDEX(equipamento!$B$2:$B$50,MATCH(B62,equipamento!$A$2:$A$50,0)),"")</f>
        <v>Banco reto</v>
      </c>
    </row>
    <row r="63" customFormat="false" ht="15" hidden="false" customHeight="false" outlineLevel="0" collapsed="false">
      <c r="A63" s="6" t="n">
        <v>72</v>
      </c>
      <c r="B63" s="6" t="n">
        <v>11</v>
      </c>
      <c r="C63" s="9" t="str">
        <f aca="false">IFERROR(INDEX(exercicio!$B$2:$B$190,MATCH(A63,exercicio!$A$2:$A$190,0)),"")</f>
        <v>Crossover na Polia</v>
      </c>
      <c r="D63" s="9" t="str">
        <f aca="false">IFERROR(INDEX(equipamento!$B$2:$B$50,MATCH(B63,equipamento!$A$2:$A$50,0)),"")</f>
        <v>Polia (cabo)</v>
      </c>
    </row>
    <row r="64" customFormat="false" ht="15" hidden="false" customHeight="false" outlineLevel="0" collapsed="false">
      <c r="A64" s="6" t="n">
        <v>73</v>
      </c>
      <c r="B64" s="6" t="n">
        <v>2</v>
      </c>
      <c r="C64" s="9" t="str">
        <f aca="false">IFERROR(INDEX(exercicio!$B$2:$B$190,MATCH(A64,exercicio!$A$2:$A$190,0)),"")</f>
        <v>Elevação Lateral com Halteres</v>
      </c>
      <c r="D64" s="9" t="str">
        <f aca="false">IFERROR(INDEX(equipamento!$B$2:$B$50,MATCH(B64,equipamento!$A$2:$A$50,0)),"")</f>
        <v>Halteres</v>
      </c>
    </row>
    <row r="65" customFormat="false" ht="15" hidden="false" customHeight="false" outlineLevel="0" collapsed="false">
      <c r="A65" s="6" t="n">
        <v>74</v>
      </c>
      <c r="B65" s="6" t="n">
        <v>25</v>
      </c>
      <c r="C65" s="9" t="str">
        <f aca="false">IFERROR(INDEX(exercicio!$B$2:$B$190,MATCH(A65,exercicio!$A$2:$A$190,0)),"")</f>
        <v>Desenvolvimento na Máquina</v>
      </c>
      <c r="D65" s="9" t="str">
        <f aca="false">IFERROR(INDEX(equipamento!$B$2:$B$50,MATCH(B65,equipamento!$A$2:$A$50,0)),"")</f>
        <v>Máquina de desenvolvimento</v>
      </c>
    </row>
    <row r="66" customFormat="false" ht="15" hidden="false" customHeight="false" outlineLevel="0" collapsed="false">
      <c r="A66" s="6" t="n">
        <v>75</v>
      </c>
      <c r="B66" s="6" t="n">
        <v>11</v>
      </c>
      <c r="C66" s="9" t="str">
        <f aca="false">IFERROR(INDEX(exercicio!$B$2:$B$190,MATCH(A66,exercicio!$A$2:$A$190,0)),"")</f>
        <v>Elevação Frontal na Polia</v>
      </c>
      <c r="D66" s="9" t="str">
        <f aca="false">IFERROR(INDEX(equipamento!$B$2:$B$50,MATCH(B66,equipamento!$A$2:$A$50,0)),"")</f>
        <v>Polia (cabo)</v>
      </c>
    </row>
    <row r="67" customFormat="false" ht="15" hidden="false" customHeight="false" outlineLevel="0" collapsed="false">
      <c r="A67" s="6" t="n">
        <v>76</v>
      </c>
      <c r="B67" s="6" t="n">
        <v>11</v>
      </c>
      <c r="C67" s="9" t="str">
        <f aca="false">IFERROR(INDEX(exercicio!$B$2:$B$190,MATCH(A67,exercicio!$A$2:$A$190,0)),"")</f>
        <v>Puxada Alta com Triângulo</v>
      </c>
      <c r="D67" s="9" t="str">
        <f aca="false">IFERROR(INDEX(equipamento!$B$2:$B$50,MATCH(B67,equipamento!$A$2:$A$50,0)),"")</f>
        <v>Polia (cabo)</v>
      </c>
    </row>
    <row r="68" customFormat="false" ht="15" hidden="false" customHeight="false" outlineLevel="0" collapsed="false">
      <c r="A68" s="6" t="n">
        <v>77</v>
      </c>
      <c r="B68" s="6" t="n">
        <v>26</v>
      </c>
      <c r="C68" s="9" t="str">
        <f aca="false">IFERROR(INDEX(exercicio!$B$2:$B$190,MATCH(A68,exercicio!$A$2:$A$190,0)),"")</f>
        <v>Remada Cavalinho</v>
      </c>
      <c r="D68" s="9" t="str">
        <f aca="false">IFERROR(INDEX(equipamento!$B$2:$B$50,MATCH(B68,equipamento!$A$2:$A$50,0)),"")</f>
        <v>Máquina de remada cavalinho</v>
      </c>
    </row>
    <row r="69" customFormat="false" ht="15" hidden="false" customHeight="false" outlineLevel="0" collapsed="false">
      <c r="A69" s="6" t="n">
        <v>78</v>
      </c>
      <c r="B69" s="6" t="n">
        <v>2</v>
      </c>
      <c r="C69" s="9" t="str">
        <f aca="false">IFERROR(INDEX(exercicio!$B$2:$B$190,MATCH(A69,exercicio!$A$2:$A$190,0)),"")</f>
        <v>Rosca Martelo</v>
      </c>
      <c r="D69" s="9" t="str">
        <f aca="false">IFERROR(INDEX(equipamento!$B$2:$B$50,MATCH(B69,equipamento!$A$2:$A$50,0)),"")</f>
        <v>Halteres</v>
      </c>
    </row>
    <row r="70" customFormat="false" ht="15" hidden="false" customHeight="false" outlineLevel="0" collapsed="false">
      <c r="A70" s="6" t="n">
        <v>79</v>
      </c>
      <c r="B70" s="6" t="n">
        <v>11</v>
      </c>
      <c r="C70" s="9" t="str">
        <f aca="false">IFERROR(INDEX(exercicio!$B$2:$B$190,MATCH(A70,exercicio!$A$2:$A$190,0)),"")</f>
        <v>Rosca por Trás do Corpo na Polia</v>
      </c>
      <c r="D70" s="9" t="str">
        <f aca="false">IFERROR(INDEX(equipamento!$B$2:$B$50,MATCH(B70,equipamento!$A$2:$A$50,0)),"")</f>
        <v>Polia (cabo)</v>
      </c>
    </row>
    <row r="71" customFormat="false" ht="15" hidden="false" customHeight="false" outlineLevel="0" collapsed="false">
      <c r="A71" s="6" t="n">
        <v>80</v>
      </c>
      <c r="B71" s="6" t="n">
        <v>21</v>
      </c>
      <c r="C71" s="9" t="str">
        <f aca="false">IFERROR(INDEX(exercicio!$B$2:$B$190,MATCH(A71,exercicio!$A$2:$A$190,0)),"")</f>
        <v>Tríceps Testa com Barra W</v>
      </c>
      <c r="D71" s="9" t="str">
        <f aca="false">IFERROR(INDEX(equipamento!$B$2:$B$50,MATCH(B71,equipamento!$A$2:$A$50,0)),"")</f>
        <v>Barra W</v>
      </c>
    </row>
    <row r="72" customFormat="false" ht="15" hidden="false" customHeight="false" outlineLevel="0" collapsed="false">
      <c r="A72" s="6" t="n">
        <v>80</v>
      </c>
      <c r="B72" s="6" t="n">
        <v>3</v>
      </c>
      <c r="C72" s="9" t="str">
        <f aca="false">IFERROR(INDEX(exercicio!$B$2:$B$190,MATCH(A72,exercicio!$A$2:$A$190,0)),"")</f>
        <v>Tríceps Testa com Barra W</v>
      </c>
      <c r="D72" s="9" t="str">
        <f aca="false">IFERROR(INDEX(equipamento!$B$2:$B$50,MATCH(B72,equipamento!$A$2:$A$50,0)),"")</f>
        <v>Banco reto</v>
      </c>
    </row>
    <row r="73" customFormat="false" ht="15" hidden="false" customHeight="false" outlineLevel="0" collapsed="false">
      <c r="A73" s="6" t="n">
        <v>81</v>
      </c>
      <c r="B73" s="6" t="n">
        <v>22</v>
      </c>
      <c r="C73" s="9" t="str">
        <f aca="false">IFERROR(INDEX(exercicio!$B$2:$B$190,MATCH(A73,exercicio!$A$2:$A$190,0)),"")</f>
        <v>Agachamento no Smith</v>
      </c>
      <c r="D73" s="9" t="str">
        <f aca="false">IFERROR(INDEX(equipamento!$B$2:$B$50,MATCH(B73,equipamento!$A$2:$A$50,0)),"")</f>
        <v>Máquina Smith</v>
      </c>
    </row>
    <row r="74" customFormat="false" ht="15" hidden="false" customHeight="false" outlineLevel="0" collapsed="false">
      <c r="A74" s="6" t="n">
        <v>82</v>
      </c>
      <c r="B74" s="6" t="n">
        <v>29</v>
      </c>
      <c r="C74" s="9" t="str">
        <f aca="false">IFERROR(INDEX(exercicio!$B$2:$B$190,MATCH(A74,exercicio!$A$2:$A$190,0)),"")</f>
        <v>Agachamento Hack</v>
      </c>
      <c r="D74" s="9" t="str">
        <f aca="false">IFERROR(INDEX(equipamento!$B$2:$B$50,MATCH(B74,equipamento!$A$2:$A$50,0)),"")</f>
        <v>Máquina de agachamento hack</v>
      </c>
    </row>
    <row r="75" customFormat="false" ht="15" hidden="false" customHeight="false" outlineLevel="0" collapsed="false">
      <c r="A75" s="6" t="n">
        <v>83</v>
      </c>
      <c r="B75" s="6" t="n">
        <v>27</v>
      </c>
      <c r="C75" s="9" t="str">
        <f aca="false">IFERROR(INDEX(exercicio!$B$2:$B$190,MATCH(A75,exercicio!$A$2:$A$190,0)),"")</f>
        <v>Mesa Flexora</v>
      </c>
      <c r="D75" s="9" t="str">
        <f aca="false">IFERROR(INDEX(equipamento!$B$2:$B$50,MATCH(B75,equipamento!$A$2:$A$50,0)),"")</f>
        <v>Mesa flexora</v>
      </c>
    </row>
    <row r="76" customFormat="false" ht="15" hidden="false" customHeight="false" outlineLevel="0" collapsed="false">
      <c r="A76" s="6" t="n">
        <v>84</v>
      </c>
      <c r="B76" s="6" t="n">
        <v>28</v>
      </c>
      <c r="C76" s="9" t="str">
        <f aca="false">IFERROR(INDEX(exercicio!$B$2:$B$190,MATCH(A76,exercicio!$A$2:$A$190,0)),"")</f>
        <v>Elevação de Panturrilha Sentado</v>
      </c>
      <c r="D76" s="9" t="str">
        <f aca="false">IFERROR(INDEX(equipamento!$B$2:$B$50,MATCH(B76,equipamento!$A$2:$A$50,0)),"")</f>
        <v>Máquina de panturrilha sentado</v>
      </c>
    </row>
    <row r="77" customFormat="false" ht="15" hidden="false" customHeight="false" outlineLevel="0" collapsed="false">
      <c r="A77" s="6" t="n">
        <v>85</v>
      </c>
      <c r="B77" s="6" t="n">
        <v>30</v>
      </c>
      <c r="C77" s="9" t="str">
        <f aca="false">IFERROR(INDEX(exercicio!$B$2:$B$190,MATCH(A77,exercicio!$A$2:$A$190,0)),"")</f>
        <v>Cadeira Adutora</v>
      </c>
      <c r="D77" s="9" t="str">
        <f aca="false">IFERROR(INDEX(equipamento!$B$2:$B$50,MATCH(B77,equipamento!$A$2:$A$50,0)),"")</f>
        <v>Cadeira adutora</v>
      </c>
    </row>
    <row r="78" customFormat="false" ht="15" hidden="false" customHeight="false" outlineLevel="0" collapsed="false">
      <c r="A78" s="6" t="n">
        <v>86</v>
      </c>
      <c r="B78" s="6" t="n">
        <v>31</v>
      </c>
      <c r="C78" s="9" t="str">
        <f aca="false">IFERROR(INDEX(exercicio!$B$2:$B$190,MATCH(A78,exercicio!$A$2:$A$190,0)),"")</f>
        <v>Cadeira Abdutora</v>
      </c>
      <c r="D78" s="9" t="str">
        <f aca="false">IFERROR(INDEX(equipamento!$B$2:$B$50,MATCH(B78,equipamento!$A$2:$A$50,0)),"")</f>
        <v>Cadeira abdutora</v>
      </c>
    </row>
  </sheetData>
  <autoFilter ref="A1:D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70"/>
    <col collapsed="false" customWidth="true" hidden="false" outlineLevel="0" max="4" min="4" style="0" width="50"/>
    <col collapsed="false" customWidth="true" hidden="false" outlineLevel="0" max="5" min="5" style="0" width="38"/>
  </cols>
  <sheetData>
    <row r="1" customFormat="false" ht="31.5" hidden="false" customHeight="true" outlineLevel="0" collapsed="false">
      <c r="A1" s="4" t="s">
        <v>422</v>
      </c>
      <c r="B1" s="4" t="s">
        <v>424</v>
      </c>
      <c r="C1" s="4" t="s">
        <v>24</v>
      </c>
      <c r="D1" s="4" t="s">
        <v>442</v>
      </c>
      <c r="E1" s="5" t="s">
        <v>425</v>
      </c>
    </row>
    <row r="2" customFormat="false" ht="15" hidden="false" customHeight="false" outlineLevel="0" collapsed="false">
      <c r="A2" s="6" t="n">
        <v>1</v>
      </c>
      <c r="B2" s="6" t="n">
        <v>1</v>
      </c>
      <c r="C2" s="7" t="s">
        <v>443</v>
      </c>
      <c r="D2" s="7" t="s">
        <v>444</v>
      </c>
      <c r="E2" s="9" t="str">
        <f aca="false">IFERROR(INDEX(exercicio!$B$2:$B$190,MATCH(A2,exercicio!$A$2:$A$190,0)),"")</f>
        <v>Supino Reto com Barra</v>
      </c>
    </row>
    <row r="3" customFormat="false" ht="23.85" hidden="false" customHeight="false" outlineLevel="0" collapsed="false">
      <c r="A3" s="6" t="n">
        <v>2</v>
      </c>
      <c r="B3" s="6" t="n">
        <v>1</v>
      </c>
      <c r="C3" s="7" t="s">
        <v>445</v>
      </c>
      <c r="D3" s="7"/>
      <c r="E3" s="9" t="str">
        <f aca="false">IFERROR(INDEX(exercicio!$B$2:$B$190,MATCH(A3,exercicio!$A$2:$A$190,0)),"")</f>
        <v>Supino Inclinado com Halteres</v>
      </c>
    </row>
    <row r="4" customFormat="false" ht="23.85" hidden="false" customHeight="false" outlineLevel="0" collapsed="false">
      <c r="A4" s="6" t="n">
        <v>2</v>
      </c>
      <c r="B4" s="6" t="n">
        <v>2</v>
      </c>
      <c r="C4" s="7" t="s">
        <v>446</v>
      </c>
      <c r="D4" s="7"/>
      <c r="E4" s="9" t="str">
        <f aca="false">IFERROR(INDEX(exercicio!$B$2:$B$190,MATCH(A4,exercicio!$A$2:$A$190,0)),"")</f>
        <v>Supino Inclinado com Halteres</v>
      </c>
    </row>
    <row r="5" customFormat="false" ht="15" hidden="false" customHeight="false" outlineLevel="0" collapsed="false">
      <c r="A5" s="6" t="n">
        <v>2</v>
      </c>
      <c r="B5" s="6" t="n">
        <v>3</v>
      </c>
      <c r="C5" s="7" t="s">
        <v>447</v>
      </c>
      <c r="D5" s="7"/>
      <c r="E5" s="9" t="str">
        <f aca="false">IFERROR(INDEX(exercicio!$B$2:$B$190,MATCH(A5,exercicio!$A$2:$A$190,0)),"")</f>
        <v>Supino Inclinado com Halteres</v>
      </c>
    </row>
    <row r="6" customFormat="false" ht="15" hidden="false" customHeight="false" outlineLevel="0" collapsed="false">
      <c r="A6" s="6" t="n">
        <v>2</v>
      </c>
      <c r="B6" s="6" t="n">
        <v>4</v>
      </c>
      <c r="C6" s="7" t="s">
        <v>448</v>
      </c>
      <c r="D6" s="7"/>
      <c r="E6" s="9" t="str">
        <f aca="false">IFERROR(INDEX(exercicio!$B$2:$B$190,MATCH(A6,exercicio!$A$2:$A$190,0)),"")</f>
        <v>Supino Inclinado com Halteres</v>
      </c>
    </row>
    <row r="7" customFormat="false" ht="23.85" hidden="false" customHeight="false" outlineLevel="0" collapsed="false">
      <c r="A7" s="6" t="n">
        <v>2</v>
      </c>
      <c r="B7" s="6" t="n">
        <v>5</v>
      </c>
      <c r="C7" s="7" t="s">
        <v>449</v>
      </c>
      <c r="D7" s="7" t="s">
        <v>450</v>
      </c>
      <c r="E7" s="9" t="str">
        <f aca="false">IFERROR(INDEX(exercicio!$B$2:$B$190,MATCH(A7,exercicio!$A$2:$A$190,0)),"")</f>
        <v>Supino Inclinado com Halteres</v>
      </c>
    </row>
    <row r="8" customFormat="false" ht="23.85" hidden="false" customHeight="false" outlineLevel="0" collapsed="false">
      <c r="A8" s="6" t="n">
        <v>3</v>
      </c>
      <c r="B8" s="6" t="n">
        <v>1</v>
      </c>
      <c r="C8" s="7" t="s">
        <v>451</v>
      </c>
      <c r="D8" s="7"/>
      <c r="E8" s="9" t="str">
        <f aca="false">IFERROR(INDEX(exercicio!$B$2:$B$190,MATCH(A8,exercicio!$A$2:$A$190,0)),"")</f>
        <v>Voador Peitoral</v>
      </c>
    </row>
    <row r="9" customFormat="false" ht="15" hidden="false" customHeight="false" outlineLevel="0" collapsed="false">
      <c r="A9" s="6" t="n">
        <v>3</v>
      </c>
      <c r="B9" s="6" t="n">
        <v>2</v>
      </c>
      <c r="C9" s="7" t="s">
        <v>452</v>
      </c>
      <c r="D9" s="7"/>
      <c r="E9" s="9" t="str">
        <f aca="false">IFERROR(INDEX(exercicio!$B$2:$B$190,MATCH(A9,exercicio!$A$2:$A$190,0)),"")</f>
        <v>Voador Peitoral</v>
      </c>
    </row>
    <row r="10" customFormat="false" ht="15" hidden="false" customHeight="false" outlineLevel="0" collapsed="false">
      <c r="A10" s="6" t="n">
        <v>3</v>
      </c>
      <c r="B10" s="6" t="n">
        <v>3</v>
      </c>
      <c r="C10" s="7" t="s">
        <v>453</v>
      </c>
      <c r="D10" s="7"/>
      <c r="E10" s="9" t="str">
        <f aca="false">IFERROR(INDEX(exercicio!$B$2:$B$190,MATCH(A10,exercicio!$A$2:$A$190,0)),"")</f>
        <v>Voador Peitoral</v>
      </c>
    </row>
    <row r="11" customFormat="false" ht="15" hidden="false" customHeight="false" outlineLevel="0" collapsed="false">
      <c r="A11" s="6" t="n">
        <v>3</v>
      </c>
      <c r="B11" s="6" t="n">
        <v>4</v>
      </c>
      <c r="C11" s="7" t="s">
        <v>454</v>
      </c>
      <c r="D11" s="7"/>
      <c r="E11" s="9" t="str">
        <f aca="false">IFERROR(INDEX(exercicio!$B$2:$B$190,MATCH(A11,exercicio!$A$2:$A$190,0)),"")</f>
        <v>Voador Peitoral</v>
      </c>
    </row>
    <row r="12" customFormat="false" ht="15" hidden="false" customHeight="false" outlineLevel="0" collapsed="false">
      <c r="A12" s="6" t="n">
        <v>17</v>
      </c>
      <c r="B12" s="6" t="n">
        <v>1</v>
      </c>
      <c r="C12" s="7" t="s">
        <v>455</v>
      </c>
      <c r="D12" s="7"/>
      <c r="E12" s="9" t="str">
        <f aca="false">IFERROR(INDEX(exercicio!$B$2:$B$190,MATCH(A12,exercicio!$A$2:$A$190,0)),"")</f>
        <v>Puxada Alta</v>
      </c>
    </row>
    <row r="13" customFormat="false" ht="15" hidden="false" customHeight="false" outlineLevel="0" collapsed="false">
      <c r="A13" s="6" t="n">
        <v>17</v>
      </c>
      <c r="B13" s="6" t="n">
        <v>2</v>
      </c>
      <c r="C13" s="7" t="s">
        <v>456</v>
      </c>
      <c r="D13" s="7"/>
      <c r="E13" s="9" t="str">
        <f aca="false">IFERROR(INDEX(exercicio!$B$2:$B$190,MATCH(A13,exercicio!$A$2:$A$190,0)),"")</f>
        <v>Puxada Alta</v>
      </c>
    </row>
    <row r="14" customFormat="false" ht="15" hidden="false" customHeight="false" outlineLevel="0" collapsed="false">
      <c r="A14" s="6" t="n">
        <v>17</v>
      </c>
      <c r="B14" s="6" t="n">
        <v>3</v>
      </c>
      <c r="C14" s="7" t="s">
        <v>457</v>
      </c>
      <c r="D14" s="7"/>
      <c r="E14" s="9" t="str">
        <f aca="false">IFERROR(INDEX(exercicio!$B$2:$B$190,MATCH(A14,exercicio!$A$2:$A$190,0)),"")</f>
        <v>Puxada Alta</v>
      </c>
    </row>
  </sheetData>
  <autoFilter ref="A1:E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C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6"/>
    <col collapsed="false" customWidth="true" hidden="false" outlineLevel="0" max="3" min="3" style="0" width="38"/>
  </cols>
  <sheetData>
    <row r="1" customFormat="false" ht="31.5" hidden="false" customHeight="true" outlineLevel="0" collapsed="false">
      <c r="A1" s="4" t="s">
        <v>422</v>
      </c>
      <c r="B1" s="4" t="s">
        <v>458</v>
      </c>
      <c r="C1" s="5" t="s">
        <v>425</v>
      </c>
    </row>
    <row r="2" customFormat="false" ht="15" hidden="false" customHeight="false" outlineLevel="0" collapsed="false">
      <c r="A2" s="6" t="n">
        <v>1</v>
      </c>
      <c r="B2" s="6" t="s">
        <v>459</v>
      </c>
      <c r="C2" s="9" t="str">
        <f aca="false">IFERROR(INDEX(exercicio!$B$2:$B$190,MATCH(A2,exercicio!$A$2:$A$190,0)),"")</f>
        <v>Supino Reto com Barra</v>
      </c>
    </row>
    <row r="3" customFormat="false" ht="15" hidden="false" customHeight="false" outlineLevel="0" collapsed="false">
      <c r="A3" s="6" t="n">
        <v>1</v>
      </c>
      <c r="B3" s="6" t="s">
        <v>460</v>
      </c>
      <c r="C3" s="9" t="str">
        <f aca="false">IFERROR(INDEX(exercicio!$B$2:$B$190,MATCH(A3,exercicio!$A$2:$A$190,0)),"")</f>
        <v>Supino Reto com Barra</v>
      </c>
    </row>
    <row r="4" customFormat="false" ht="15" hidden="false" customHeight="false" outlineLevel="0" collapsed="false">
      <c r="A4" s="6" t="n">
        <v>1</v>
      </c>
      <c r="B4" s="6" t="s">
        <v>461</v>
      </c>
      <c r="C4" s="9" t="str">
        <f aca="false">IFERROR(INDEX(exercicio!$B$2:$B$190,MATCH(A4,exercicio!$A$2:$A$190,0)),"")</f>
        <v>Supino Reto com Barra</v>
      </c>
    </row>
    <row r="5" customFormat="false" ht="15" hidden="false" customHeight="false" outlineLevel="0" collapsed="false">
      <c r="A5" s="6" t="n">
        <v>2</v>
      </c>
      <c r="B5" s="6" t="s">
        <v>462</v>
      </c>
      <c r="C5" s="9" t="str">
        <f aca="false">IFERROR(INDEX(exercicio!$B$2:$B$190,MATCH(A5,exercicio!$A$2:$A$190,0)),"")</f>
        <v>Supino Inclinado com Halteres</v>
      </c>
    </row>
    <row r="6" customFormat="false" ht="15" hidden="false" customHeight="false" outlineLevel="0" collapsed="false">
      <c r="A6" s="6" t="n">
        <v>2</v>
      </c>
      <c r="B6" s="6" t="s">
        <v>463</v>
      </c>
      <c r="C6" s="9" t="str">
        <f aca="false">IFERROR(INDEX(exercicio!$B$2:$B$190,MATCH(A6,exercicio!$A$2:$A$190,0)),"")</f>
        <v>Supino Inclinado com Halteres</v>
      </c>
    </row>
    <row r="7" customFormat="false" ht="15" hidden="false" customHeight="false" outlineLevel="0" collapsed="false">
      <c r="A7" s="6" t="n">
        <v>3</v>
      </c>
      <c r="B7" s="6" t="s">
        <v>464</v>
      </c>
      <c r="C7" s="9" t="str">
        <f aca="false">IFERROR(INDEX(exercicio!$B$2:$B$190,MATCH(A7,exercicio!$A$2:$A$190,0)),"")</f>
        <v>Voador Peitoral</v>
      </c>
    </row>
    <row r="8" customFormat="false" ht="15" hidden="false" customHeight="false" outlineLevel="0" collapsed="false">
      <c r="A8" s="6" t="n">
        <v>3</v>
      </c>
      <c r="B8" s="6" t="s">
        <v>465</v>
      </c>
      <c r="C8" s="9" t="str">
        <f aca="false">IFERROR(INDEX(exercicio!$B$2:$B$190,MATCH(A8,exercicio!$A$2:$A$190,0)),"")</f>
        <v>Voador Peitoral</v>
      </c>
    </row>
    <row r="9" customFormat="false" ht="15" hidden="false" customHeight="false" outlineLevel="0" collapsed="false">
      <c r="A9" s="6" t="n">
        <v>3</v>
      </c>
      <c r="B9" s="6" t="s">
        <v>466</v>
      </c>
      <c r="C9" s="9" t="str">
        <f aca="false">IFERROR(INDEX(exercicio!$B$2:$B$190,MATCH(A9,exercicio!$A$2:$A$190,0)),"")</f>
        <v>Voador Peitoral</v>
      </c>
    </row>
    <row r="10" customFormat="false" ht="15" hidden="false" customHeight="false" outlineLevel="0" collapsed="false">
      <c r="A10" s="6" t="n">
        <v>4</v>
      </c>
      <c r="B10" s="6" t="s">
        <v>49</v>
      </c>
      <c r="C10" s="9" t="str">
        <f aca="false">IFERROR(INDEX(exercicio!$B$2:$B$190,MATCH(A10,exercicio!$A$2:$A$190,0)),"")</f>
        <v>Flexão de Braço</v>
      </c>
    </row>
    <row r="11" customFormat="false" ht="15" hidden="false" customHeight="false" outlineLevel="0" collapsed="false">
      <c r="A11" s="6" t="n">
        <v>4</v>
      </c>
      <c r="B11" s="6" t="s">
        <v>467</v>
      </c>
      <c r="C11" s="9" t="str">
        <f aca="false">IFERROR(INDEX(exercicio!$B$2:$B$190,MATCH(A11,exercicio!$A$2:$A$190,0)),"")</f>
        <v>Flexão de Braço</v>
      </c>
    </row>
    <row r="12" customFormat="false" ht="15" hidden="false" customHeight="false" outlineLevel="0" collapsed="false">
      <c r="A12" s="6" t="n">
        <v>5</v>
      </c>
      <c r="B12" s="6" t="s">
        <v>468</v>
      </c>
      <c r="C12" s="9" t="str">
        <f aca="false">IFERROR(INDEX(exercicio!$B$2:$B$190,MATCH(A12,exercicio!$A$2:$A$190,0)),"")</f>
        <v>Flexão com Apoio Afastado</v>
      </c>
    </row>
    <row r="13" customFormat="false" ht="15" hidden="false" customHeight="false" outlineLevel="0" collapsed="false">
      <c r="A13" s="6" t="n">
        <v>6</v>
      </c>
      <c r="B13" s="6" t="s">
        <v>469</v>
      </c>
      <c r="C13" s="9" t="str">
        <f aca="false">IFERROR(INDEX(exercicio!$B$2:$B$190,MATCH(A13,exercicio!$A$2:$A$190,0)),"")</f>
        <v>Flexão com Pés Elevados</v>
      </c>
    </row>
    <row r="14" customFormat="false" ht="15" hidden="false" customHeight="false" outlineLevel="0" collapsed="false">
      <c r="A14" s="6" t="n">
        <v>7</v>
      </c>
      <c r="B14" s="6" t="s">
        <v>470</v>
      </c>
      <c r="C14" s="9" t="str">
        <f aca="false">IFERROR(INDEX(exercicio!$B$2:$B$190,MATCH(A14,exercicio!$A$2:$A$190,0)),"")</f>
        <v>Mergulho em Paralelas</v>
      </c>
    </row>
    <row r="15" customFormat="false" ht="15" hidden="false" customHeight="false" outlineLevel="0" collapsed="false">
      <c r="A15" s="6" t="n">
        <v>7</v>
      </c>
      <c r="B15" s="6" t="s">
        <v>471</v>
      </c>
      <c r="C15" s="9" t="str">
        <f aca="false">IFERROR(INDEX(exercicio!$B$2:$B$190,MATCH(A15,exercicio!$A$2:$A$190,0)),"")</f>
        <v>Mergulho em Paralelas</v>
      </c>
    </row>
    <row r="16" customFormat="false" ht="15" hidden="false" customHeight="false" outlineLevel="0" collapsed="false">
      <c r="A16" s="6" t="n">
        <v>7</v>
      </c>
      <c r="B16" s="6" t="s">
        <v>472</v>
      </c>
      <c r="C16" s="9" t="str">
        <f aca="false">IFERROR(INDEX(exercicio!$B$2:$B$190,MATCH(A16,exercicio!$A$2:$A$190,0)),"")</f>
        <v>Mergulho em Paralelas</v>
      </c>
    </row>
    <row r="17" customFormat="false" ht="15" hidden="false" customHeight="false" outlineLevel="0" collapsed="false">
      <c r="A17" s="6" t="n">
        <v>8</v>
      </c>
      <c r="B17" s="6" t="s">
        <v>473</v>
      </c>
      <c r="C17" s="9" t="str">
        <f aca="false">IFERROR(INDEX(exercicio!$B$2:$B$190,MATCH(A17,exercicio!$A$2:$A$190,0)),"")</f>
        <v>Flexão Diamante</v>
      </c>
    </row>
    <row r="18" customFormat="false" ht="15" hidden="false" customHeight="false" outlineLevel="0" collapsed="false">
      <c r="A18" s="6" t="n">
        <v>9</v>
      </c>
      <c r="B18" s="6" t="s">
        <v>71</v>
      </c>
      <c r="C18" s="9" t="str">
        <f aca="false">IFERROR(INDEX(exercicio!$B$2:$B$190,MATCH(A18,exercicio!$A$2:$A$190,0)),"")</f>
        <v>Flexão em Pique</v>
      </c>
    </row>
    <row r="19" customFormat="false" ht="15" hidden="false" customHeight="false" outlineLevel="0" collapsed="false">
      <c r="A19" s="6" t="n">
        <v>9</v>
      </c>
      <c r="B19" s="6" t="s">
        <v>474</v>
      </c>
      <c r="C19" s="9" t="str">
        <f aca="false">IFERROR(INDEX(exercicio!$B$2:$B$190,MATCH(A19,exercicio!$A$2:$A$190,0)),"")</f>
        <v>Flexão em Pique</v>
      </c>
    </row>
    <row r="20" customFormat="false" ht="15" hidden="false" customHeight="false" outlineLevel="0" collapsed="false">
      <c r="A20" s="6" t="n">
        <v>10</v>
      </c>
      <c r="B20" s="6" t="s">
        <v>75</v>
      </c>
      <c r="C20" s="9" t="str">
        <f aca="false">IFERROR(INDEX(exercicio!$B$2:$B$190,MATCH(A20,exercicio!$A$2:$A$190,0)),"")</f>
        <v>Flexão nas Pontas dos Dedos</v>
      </c>
    </row>
    <row r="21" customFormat="false" ht="15" hidden="false" customHeight="false" outlineLevel="0" collapsed="false">
      <c r="A21" s="6" t="n">
        <v>11</v>
      </c>
      <c r="B21" s="6" t="s">
        <v>475</v>
      </c>
      <c r="C21" s="9" t="str">
        <f aca="false">IFERROR(INDEX(exercicio!$B$2:$B$190,MATCH(A21,exercicio!$A$2:$A$190,0)),"")</f>
        <v>Desenvolvimento com Halteres</v>
      </c>
    </row>
    <row r="22" customFormat="false" ht="15" hidden="false" customHeight="false" outlineLevel="0" collapsed="false">
      <c r="A22" s="6" t="n">
        <v>11</v>
      </c>
      <c r="B22" s="6" t="s">
        <v>476</v>
      </c>
      <c r="C22" s="9" t="str">
        <f aca="false">IFERROR(INDEX(exercicio!$B$2:$B$190,MATCH(A22,exercicio!$A$2:$A$190,0)),"")</f>
        <v>Desenvolvimento com Halteres</v>
      </c>
    </row>
    <row r="23" customFormat="false" ht="15" hidden="false" customHeight="false" outlineLevel="0" collapsed="false">
      <c r="A23" s="6" t="n">
        <v>14</v>
      </c>
      <c r="B23" s="6" t="s">
        <v>477</v>
      </c>
      <c r="C23" s="9" t="str">
        <f aca="false">IFERROR(INDEX(exercicio!$B$2:$B$190,MATCH(A23,exercicio!$A$2:$A$190,0)),"")</f>
        <v>Crucifixo Invertido na Polia</v>
      </c>
    </row>
    <row r="24" customFormat="false" ht="15" hidden="false" customHeight="false" outlineLevel="0" collapsed="false">
      <c r="A24" s="6" t="n">
        <v>14</v>
      </c>
      <c r="B24" s="6" t="s">
        <v>478</v>
      </c>
      <c r="C24" s="9" t="str">
        <f aca="false">IFERROR(INDEX(exercicio!$B$2:$B$190,MATCH(A24,exercicio!$A$2:$A$190,0)),"")</f>
        <v>Crucifixo Invertido na Polia</v>
      </c>
    </row>
    <row r="25" customFormat="false" ht="15" hidden="false" customHeight="false" outlineLevel="0" collapsed="false">
      <c r="A25" s="6" t="n">
        <v>15</v>
      </c>
      <c r="B25" s="6" t="s">
        <v>479</v>
      </c>
      <c r="C25" s="9" t="str">
        <f aca="false">IFERROR(INDEX(exercicio!$B$2:$B$190,MATCH(A25,exercicio!$A$2:$A$190,0)),"")</f>
        <v>Elevação Prona em T</v>
      </c>
    </row>
    <row r="26" customFormat="false" ht="15" hidden="false" customHeight="false" outlineLevel="0" collapsed="false">
      <c r="A26" s="6" t="n">
        <v>16</v>
      </c>
      <c r="B26" s="6" t="s">
        <v>103</v>
      </c>
      <c r="C26" s="9" t="str">
        <f aca="false">IFERROR(INDEX(exercicio!$B$2:$B$190,MATCH(A26,exercicio!$A$2:$A$190,0)),"")</f>
        <v>Anjo da Neve Invertido</v>
      </c>
    </row>
    <row r="27" customFormat="false" ht="15" hidden="false" customHeight="false" outlineLevel="0" collapsed="false">
      <c r="A27" s="6" t="n">
        <v>17</v>
      </c>
      <c r="B27" s="6" t="s">
        <v>480</v>
      </c>
      <c r="C27" s="9" t="str">
        <f aca="false">IFERROR(INDEX(exercicio!$B$2:$B$190,MATCH(A27,exercicio!$A$2:$A$190,0)),"")</f>
        <v>Puxada Alta</v>
      </c>
    </row>
    <row r="28" customFormat="false" ht="15" hidden="false" customHeight="false" outlineLevel="0" collapsed="false">
      <c r="A28" s="6" t="n">
        <v>17</v>
      </c>
      <c r="B28" s="6" t="s">
        <v>481</v>
      </c>
      <c r="C28" s="9" t="str">
        <f aca="false">IFERROR(INDEX(exercicio!$B$2:$B$190,MATCH(A28,exercicio!$A$2:$A$190,0)),"")</f>
        <v>Puxada Alta</v>
      </c>
    </row>
    <row r="29" customFormat="false" ht="15" hidden="false" customHeight="false" outlineLevel="0" collapsed="false">
      <c r="A29" s="6" t="n">
        <v>17</v>
      </c>
      <c r="B29" s="6" t="s">
        <v>107</v>
      </c>
      <c r="C29" s="9" t="str">
        <f aca="false">IFERROR(INDEX(exercicio!$B$2:$B$190,MATCH(A29,exercicio!$A$2:$A$190,0)),"")</f>
        <v>Puxada Alta</v>
      </c>
    </row>
    <row r="30" customFormat="false" ht="15" hidden="false" customHeight="false" outlineLevel="0" collapsed="false">
      <c r="A30" s="6" t="n">
        <v>17</v>
      </c>
      <c r="B30" s="6" t="s">
        <v>482</v>
      </c>
      <c r="C30" s="9" t="str">
        <f aca="false">IFERROR(INDEX(exercicio!$B$2:$B$190,MATCH(A30,exercicio!$A$2:$A$190,0)),"")</f>
        <v>Puxada Alta</v>
      </c>
    </row>
    <row r="31" customFormat="false" ht="15" hidden="false" customHeight="false" outlineLevel="0" collapsed="false">
      <c r="A31" s="6" t="n">
        <v>18</v>
      </c>
      <c r="B31" s="6" t="s">
        <v>483</v>
      </c>
      <c r="C31" s="9" t="str">
        <f aca="false">IFERROR(INDEX(exercicio!$B$2:$B$190,MATCH(A31,exercicio!$A$2:$A$190,0)),"")</f>
        <v>Remada Baixa</v>
      </c>
    </row>
    <row r="32" customFormat="false" ht="15" hidden="false" customHeight="false" outlineLevel="0" collapsed="false">
      <c r="A32" s="6" t="n">
        <v>18</v>
      </c>
      <c r="B32" s="6" t="s">
        <v>112</v>
      </c>
      <c r="C32" s="9" t="str">
        <f aca="false">IFERROR(INDEX(exercicio!$B$2:$B$190,MATCH(A32,exercicio!$A$2:$A$190,0)),"")</f>
        <v>Remada Baixa</v>
      </c>
    </row>
    <row r="33" customFormat="false" ht="15" hidden="false" customHeight="false" outlineLevel="0" collapsed="false">
      <c r="A33" s="6" t="n">
        <v>19</v>
      </c>
      <c r="B33" s="6" t="s">
        <v>484</v>
      </c>
      <c r="C33" s="9" t="str">
        <f aca="false">IFERROR(INDEX(exercicio!$B$2:$B$190,MATCH(A33,exercicio!$A$2:$A$190,0)),"")</f>
        <v>Remada Unilateral Articulada</v>
      </c>
    </row>
    <row r="34" customFormat="false" ht="15" hidden="false" customHeight="false" outlineLevel="0" collapsed="false">
      <c r="A34" s="6" t="n">
        <v>19</v>
      </c>
      <c r="B34" s="6" t="s">
        <v>485</v>
      </c>
      <c r="C34" s="9" t="str">
        <f aca="false">IFERROR(INDEX(exercicio!$B$2:$B$190,MATCH(A34,exercicio!$A$2:$A$190,0)),"")</f>
        <v>Remada Unilateral Articulada</v>
      </c>
    </row>
    <row r="35" customFormat="false" ht="15" hidden="false" customHeight="false" outlineLevel="0" collapsed="false">
      <c r="A35" s="6" t="n">
        <v>19</v>
      </c>
      <c r="B35" s="6" t="s">
        <v>486</v>
      </c>
      <c r="C35" s="9" t="str">
        <f aca="false">IFERROR(INDEX(exercicio!$B$2:$B$190,MATCH(A35,exercicio!$A$2:$A$190,0)),"")</f>
        <v>Remada Unilateral Articulada</v>
      </c>
    </row>
    <row r="36" customFormat="false" ht="15" hidden="false" customHeight="false" outlineLevel="0" collapsed="false">
      <c r="A36" s="6" t="n">
        <v>19</v>
      </c>
      <c r="B36" s="6" t="s">
        <v>487</v>
      </c>
      <c r="C36" s="9" t="str">
        <f aca="false">IFERROR(INDEX(exercicio!$B$2:$B$190,MATCH(A36,exercicio!$A$2:$A$190,0)),"")</f>
        <v>Remada Unilateral Articulada</v>
      </c>
    </row>
    <row r="37" customFormat="false" ht="15" hidden="false" customHeight="false" outlineLevel="0" collapsed="false">
      <c r="A37" s="6" t="n">
        <v>21</v>
      </c>
      <c r="B37" s="6" t="s">
        <v>488</v>
      </c>
      <c r="C37" s="9" t="str">
        <f aca="false">IFERROR(INDEX(exercicio!$B$2:$B$190,MATCH(A37,exercicio!$A$2:$A$190,0)),"")</f>
        <v>Remada Invertida</v>
      </c>
    </row>
    <row r="38" customFormat="false" ht="15" hidden="false" customHeight="false" outlineLevel="0" collapsed="false">
      <c r="A38" s="6" t="n">
        <v>21</v>
      </c>
      <c r="B38" s="6" t="s">
        <v>126</v>
      </c>
      <c r="C38" s="9" t="str">
        <f aca="false">IFERROR(INDEX(exercicio!$B$2:$B$190,MATCH(A38,exercicio!$A$2:$A$190,0)),"")</f>
        <v>Remada Invertida</v>
      </c>
    </row>
    <row r="39" customFormat="false" ht="15" hidden="false" customHeight="false" outlineLevel="0" collapsed="false">
      <c r="A39" s="6" t="n">
        <v>22</v>
      </c>
      <c r="B39" s="6" t="s">
        <v>131</v>
      </c>
      <c r="C39" s="9" t="str">
        <f aca="false">IFERROR(INDEX(exercicio!$B$2:$B$190,MATCH(A39,exercicio!$A$2:$A$190,0)),"")</f>
        <v>Barra Fixa</v>
      </c>
    </row>
    <row r="40" customFormat="false" ht="15" hidden="false" customHeight="false" outlineLevel="0" collapsed="false">
      <c r="A40" s="6" t="n">
        <v>23</v>
      </c>
      <c r="B40" s="6" t="s">
        <v>489</v>
      </c>
      <c r="C40" s="9" t="str">
        <f aca="false">IFERROR(INDEX(exercicio!$B$2:$B$190,MATCH(A40,exercicio!$A$2:$A$190,0)),"")</f>
        <v>Encolhimento com Halteres</v>
      </c>
    </row>
    <row r="41" customFormat="false" ht="15" hidden="false" customHeight="false" outlineLevel="0" collapsed="false">
      <c r="A41" s="6" t="n">
        <v>23</v>
      </c>
      <c r="B41" s="6" t="s">
        <v>490</v>
      </c>
      <c r="C41" s="9" t="str">
        <f aca="false">IFERROR(INDEX(exercicio!$B$2:$B$190,MATCH(A41,exercicio!$A$2:$A$190,0)),"")</f>
        <v>Encolhimento com Halteres</v>
      </c>
    </row>
    <row r="42" customFormat="false" ht="15" hidden="false" customHeight="false" outlineLevel="0" collapsed="false">
      <c r="A42" s="6" t="n">
        <v>23</v>
      </c>
      <c r="B42" s="6" t="s">
        <v>491</v>
      </c>
      <c r="C42" s="9" t="str">
        <f aca="false">IFERROR(INDEX(exercicio!$B$2:$B$190,MATCH(A42,exercicio!$A$2:$A$190,0)),"")</f>
        <v>Encolhimento com Halteres</v>
      </c>
    </row>
    <row r="43" customFormat="false" ht="15" hidden="false" customHeight="false" outlineLevel="0" collapsed="false">
      <c r="A43" s="6" t="n">
        <v>25</v>
      </c>
      <c r="B43" s="6" t="s">
        <v>492</v>
      </c>
      <c r="C43" s="9" t="str">
        <f aca="false">IFERROR(INDEX(exercicio!$B$2:$B$190,MATCH(A43,exercicio!$A$2:$A$190,0)),"")</f>
        <v>Elevação Prona em Y</v>
      </c>
    </row>
    <row r="44" customFormat="false" ht="15" hidden="false" customHeight="false" outlineLevel="0" collapsed="false">
      <c r="A44" s="6" t="n">
        <v>27</v>
      </c>
      <c r="B44" s="6" t="s">
        <v>493</v>
      </c>
      <c r="C44" s="9" t="str">
        <f aca="false">IFERROR(INDEX(exercicio!$B$2:$B$190,MATCH(A44,exercicio!$A$2:$A$190,0)),"")</f>
        <v>Hiperextensão Lombar</v>
      </c>
    </row>
    <row r="45" customFormat="false" ht="15" hidden="false" customHeight="false" outlineLevel="0" collapsed="false">
      <c r="A45" s="6" t="n">
        <v>27</v>
      </c>
      <c r="B45" s="6" t="s">
        <v>494</v>
      </c>
      <c r="C45" s="9" t="str">
        <f aca="false">IFERROR(INDEX(exercicio!$B$2:$B$190,MATCH(A45,exercicio!$A$2:$A$190,0)),"")</f>
        <v>Hiperextensão Lombar</v>
      </c>
    </row>
    <row r="46" customFormat="false" ht="15" hidden="false" customHeight="false" outlineLevel="0" collapsed="false">
      <c r="A46" s="6" t="n">
        <v>30</v>
      </c>
      <c r="B46" s="6" t="s">
        <v>495</v>
      </c>
      <c r="C46" s="9" t="str">
        <f aca="false">IFERROR(INDEX(exercicio!$B$2:$B$190,MATCH(A46,exercicio!$A$2:$A$190,0)),"")</f>
        <v>Rosca Direta na Polia Baixa</v>
      </c>
    </row>
    <row r="47" customFormat="false" ht="15" hidden="false" customHeight="false" outlineLevel="0" collapsed="false">
      <c r="A47" s="6" t="n">
        <v>30</v>
      </c>
      <c r="B47" s="6" t="s">
        <v>496</v>
      </c>
      <c r="C47" s="9" t="str">
        <f aca="false">IFERROR(INDEX(exercicio!$B$2:$B$190,MATCH(A47,exercicio!$A$2:$A$190,0)),"")</f>
        <v>Rosca Direta na Polia Baixa</v>
      </c>
    </row>
    <row r="48" customFormat="false" ht="15" hidden="false" customHeight="false" outlineLevel="0" collapsed="false">
      <c r="A48" s="6" t="n">
        <v>31</v>
      </c>
      <c r="B48" s="6" t="s">
        <v>497</v>
      </c>
      <c r="C48" s="9" t="str">
        <f aca="false">IFERROR(INDEX(exercicio!$B$2:$B$190,MATCH(A48,exercicio!$A$2:$A$190,0)),"")</f>
        <v>Rosca Scott na Máquina</v>
      </c>
    </row>
    <row r="49" customFormat="false" ht="15" hidden="false" customHeight="false" outlineLevel="0" collapsed="false">
      <c r="A49" s="6" t="n">
        <v>32</v>
      </c>
      <c r="B49" s="6" t="s">
        <v>498</v>
      </c>
      <c r="C49" s="9" t="str">
        <f aca="false">IFERROR(INDEX(exercicio!$B$2:$B$190,MATCH(A49,exercicio!$A$2:$A$190,0)),"")</f>
        <v>Rosca Inclinada com Halteres</v>
      </c>
    </row>
    <row r="50" customFormat="false" ht="15" hidden="false" customHeight="false" outlineLevel="0" collapsed="false">
      <c r="A50" s="6" t="n">
        <v>32</v>
      </c>
      <c r="B50" s="6" t="s">
        <v>499</v>
      </c>
      <c r="C50" s="9" t="str">
        <f aca="false">IFERROR(INDEX(exercicio!$B$2:$B$190,MATCH(A50,exercicio!$A$2:$A$190,0)),"")</f>
        <v>Rosca Inclinada com Halteres</v>
      </c>
    </row>
    <row r="51" customFormat="false" ht="15" hidden="false" customHeight="false" outlineLevel="0" collapsed="false">
      <c r="A51" s="6" t="n">
        <v>32</v>
      </c>
      <c r="B51" s="6" t="s">
        <v>500</v>
      </c>
      <c r="C51" s="9" t="str">
        <f aca="false">IFERROR(INDEX(exercicio!$B$2:$B$190,MATCH(A51,exercicio!$A$2:$A$190,0)),"")</f>
        <v>Rosca Inclinada com Halteres</v>
      </c>
    </row>
    <row r="52" customFormat="false" ht="15" hidden="false" customHeight="false" outlineLevel="0" collapsed="false">
      <c r="A52" s="6" t="n">
        <v>33</v>
      </c>
      <c r="B52" s="6" t="s">
        <v>501</v>
      </c>
      <c r="C52" s="9" t="str">
        <f aca="false">IFERROR(INDEX(exercicio!$B$2:$B$190,MATCH(A52,exercicio!$A$2:$A$190,0)),"")</f>
        <v>Rosca Scott com Halteres</v>
      </c>
    </row>
    <row r="53" customFormat="false" ht="15" hidden="false" customHeight="false" outlineLevel="0" collapsed="false">
      <c r="A53" s="6" t="n">
        <v>35</v>
      </c>
      <c r="B53" s="6" t="s">
        <v>502</v>
      </c>
      <c r="C53" s="9" t="str">
        <f aca="false">IFERROR(INDEX(exercicio!$B$2:$B$190,MATCH(A53,exercicio!$A$2:$A$190,0)),"")</f>
        <v>Tríceps Pulley</v>
      </c>
    </row>
    <row r="54" customFormat="false" ht="15" hidden="false" customHeight="false" outlineLevel="0" collapsed="false">
      <c r="A54" s="6" t="n">
        <v>35</v>
      </c>
      <c r="B54" s="6" t="s">
        <v>503</v>
      </c>
      <c r="C54" s="9" t="str">
        <f aca="false">IFERROR(INDEX(exercicio!$B$2:$B$190,MATCH(A54,exercicio!$A$2:$A$190,0)),"")</f>
        <v>Tríceps Pulley</v>
      </c>
    </row>
    <row r="55" customFormat="false" ht="15" hidden="false" customHeight="false" outlineLevel="0" collapsed="false">
      <c r="A55" s="6" t="n">
        <v>35</v>
      </c>
      <c r="B55" s="6" t="s">
        <v>504</v>
      </c>
      <c r="C55" s="9" t="str">
        <f aca="false">IFERROR(INDEX(exercicio!$B$2:$B$190,MATCH(A55,exercicio!$A$2:$A$190,0)),"")</f>
        <v>Tríceps Pulley</v>
      </c>
    </row>
    <row r="56" customFormat="false" ht="15" hidden="false" customHeight="false" outlineLevel="0" collapsed="false">
      <c r="A56" s="6" t="n">
        <v>35</v>
      </c>
      <c r="B56" s="6" t="s">
        <v>505</v>
      </c>
      <c r="C56" s="9" t="str">
        <f aca="false">IFERROR(INDEX(exercicio!$B$2:$B$190,MATCH(A56,exercicio!$A$2:$A$190,0)),"")</f>
        <v>Tríceps Pulley</v>
      </c>
    </row>
    <row r="57" customFormat="false" ht="15" hidden="false" customHeight="false" outlineLevel="0" collapsed="false">
      <c r="A57" s="6" t="n">
        <v>37</v>
      </c>
      <c r="B57" s="6" t="s">
        <v>506</v>
      </c>
      <c r="C57" s="9" t="str">
        <f aca="false">IFERROR(INDEX(exercicio!$B$2:$B$190,MATCH(A57,exercicio!$A$2:$A$190,0)),"")</f>
        <v>Tríceps Francês na Polia</v>
      </c>
    </row>
    <row r="58" customFormat="false" ht="15" hidden="false" customHeight="false" outlineLevel="0" collapsed="false">
      <c r="A58" s="6" t="n">
        <v>37</v>
      </c>
      <c r="B58" s="6" t="s">
        <v>507</v>
      </c>
      <c r="C58" s="9" t="str">
        <f aca="false">IFERROR(INDEX(exercicio!$B$2:$B$190,MATCH(A58,exercicio!$A$2:$A$190,0)),"")</f>
        <v>Tríceps Francês na Polia</v>
      </c>
    </row>
    <row r="59" customFormat="false" ht="15" hidden="false" customHeight="false" outlineLevel="0" collapsed="false">
      <c r="A59" s="6" t="n">
        <v>37</v>
      </c>
      <c r="B59" s="6" t="s">
        <v>508</v>
      </c>
      <c r="C59" s="9" t="str">
        <f aca="false">IFERROR(INDEX(exercicio!$B$2:$B$190,MATCH(A59,exercicio!$A$2:$A$190,0)),"")</f>
        <v>Tríceps Francês na Polia</v>
      </c>
    </row>
    <row r="60" customFormat="false" ht="15" hidden="false" customHeight="false" outlineLevel="0" collapsed="false">
      <c r="A60" s="6" t="n">
        <v>38</v>
      </c>
      <c r="B60" s="6" t="s">
        <v>509</v>
      </c>
      <c r="C60" s="9" t="str">
        <f aca="false">IFERROR(INDEX(exercicio!$B$2:$B$190,MATCH(A60,exercicio!$A$2:$A$190,0)),"")</f>
        <v>Rosca de Punho com Halteres</v>
      </c>
    </row>
    <row r="61" customFormat="false" ht="15" hidden="false" customHeight="false" outlineLevel="0" collapsed="false">
      <c r="A61" s="6" t="n">
        <v>41</v>
      </c>
      <c r="B61" s="6" t="s">
        <v>215</v>
      </c>
      <c r="C61" s="9" t="str">
        <f aca="false">IFERROR(INDEX(exercicio!$B$2:$B$190,MATCH(A61,exercicio!$A$2:$A$190,0)),"")</f>
        <v>Suspensão na Barra</v>
      </c>
    </row>
    <row r="62" customFormat="false" ht="15" hidden="false" customHeight="false" outlineLevel="0" collapsed="false">
      <c r="A62" s="6" t="n">
        <v>42</v>
      </c>
      <c r="B62" s="6" t="s">
        <v>219</v>
      </c>
      <c r="C62" s="9" t="str">
        <f aca="false">IFERROR(INDEX(exercicio!$B$2:$B$190,MATCH(A62,exercicio!$A$2:$A$190,0)),"")</f>
        <v>Caminhada do Fazendeiro</v>
      </c>
    </row>
    <row r="63" customFormat="false" ht="15" hidden="false" customHeight="false" outlineLevel="0" collapsed="false">
      <c r="A63" s="6" t="n">
        <v>43</v>
      </c>
      <c r="B63" s="6" t="s">
        <v>223</v>
      </c>
      <c r="C63" s="9" t="str">
        <f aca="false">IFERROR(INDEX(exercicio!$B$2:$B$190,MATCH(A63,exercicio!$A$2:$A$190,0)),"")</f>
        <v>Cadeira Extensora</v>
      </c>
    </row>
    <row r="64" customFormat="false" ht="15" hidden="false" customHeight="false" outlineLevel="0" collapsed="false">
      <c r="A64" s="6" t="n">
        <v>44</v>
      </c>
      <c r="B64" s="6" t="s">
        <v>510</v>
      </c>
      <c r="C64" s="9" t="str">
        <f aca="false">IFERROR(INDEX(exercicio!$B$2:$B$190,MATCH(A64,exercicio!$A$2:$A$190,0)),"")</f>
        <v>Leg Press</v>
      </c>
    </row>
    <row r="65" customFormat="false" ht="15" hidden="false" customHeight="false" outlineLevel="0" collapsed="false">
      <c r="A65" s="6" t="n">
        <v>44</v>
      </c>
      <c r="B65" s="6" t="s">
        <v>511</v>
      </c>
      <c r="C65" s="9" t="str">
        <f aca="false">IFERROR(INDEX(exercicio!$B$2:$B$190,MATCH(A65,exercicio!$A$2:$A$190,0)),"")</f>
        <v>Leg Press</v>
      </c>
    </row>
    <row r="66" customFormat="false" ht="15" hidden="false" customHeight="false" outlineLevel="0" collapsed="false">
      <c r="A66" s="6" t="n">
        <v>45</v>
      </c>
      <c r="B66" s="6" t="s">
        <v>512</v>
      </c>
      <c r="C66" s="9" t="str">
        <f aca="false">IFERROR(INDEX(exercicio!$B$2:$B$190,MATCH(A66,exercicio!$A$2:$A$190,0)),"")</f>
        <v>Agachamento Livre com Barra</v>
      </c>
    </row>
    <row r="67" customFormat="false" ht="15" hidden="false" customHeight="false" outlineLevel="0" collapsed="false">
      <c r="A67" s="6" t="n">
        <v>45</v>
      </c>
      <c r="B67" s="6" t="s">
        <v>513</v>
      </c>
      <c r="C67" s="9" t="str">
        <f aca="false">IFERROR(INDEX(exercicio!$B$2:$B$190,MATCH(A67,exercicio!$A$2:$A$190,0)),"")</f>
        <v>Agachamento Livre com Barra</v>
      </c>
    </row>
    <row r="68" customFormat="false" ht="15" hidden="false" customHeight="false" outlineLevel="0" collapsed="false">
      <c r="A68" s="6" t="n">
        <v>46</v>
      </c>
      <c r="B68" s="6" t="s">
        <v>514</v>
      </c>
      <c r="C68" s="9" t="str">
        <f aca="false">IFERROR(INDEX(exercicio!$B$2:$B$190,MATCH(A68,exercicio!$A$2:$A$190,0)),"")</f>
        <v>Agachamento com Peso do Corpo</v>
      </c>
    </row>
    <row r="69" customFormat="false" ht="15" hidden="false" customHeight="false" outlineLevel="0" collapsed="false">
      <c r="A69" s="6" t="n">
        <v>47</v>
      </c>
      <c r="B69" s="6" t="s">
        <v>515</v>
      </c>
      <c r="C69" s="9" t="str">
        <f aca="false">IFERROR(INDEX(exercicio!$B$2:$B$190,MATCH(A69,exercicio!$A$2:$A$190,0)),"")</f>
        <v>Afundo</v>
      </c>
    </row>
    <row r="70" customFormat="false" ht="15" hidden="false" customHeight="false" outlineLevel="0" collapsed="false">
      <c r="A70" s="6" t="n">
        <v>47</v>
      </c>
      <c r="B70" s="6" t="s">
        <v>516</v>
      </c>
      <c r="C70" s="9" t="str">
        <f aca="false">IFERROR(INDEX(exercicio!$B$2:$B$190,MATCH(A70,exercicio!$A$2:$A$190,0)),"")</f>
        <v>Afundo</v>
      </c>
    </row>
    <row r="71" customFormat="false" ht="15" hidden="false" customHeight="false" outlineLevel="0" collapsed="false">
      <c r="A71" s="6" t="n">
        <v>48</v>
      </c>
      <c r="B71" s="6" t="s">
        <v>245</v>
      </c>
      <c r="C71" s="9" t="str">
        <f aca="false">IFERROR(INDEX(exercicio!$B$2:$B$190,MATCH(A71,exercicio!$A$2:$A$190,0)),"")</f>
        <v>Agachamento Búlgaro</v>
      </c>
    </row>
    <row r="72" customFormat="false" ht="15" hidden="false" customHeight="false" outlineLevel="0" collapsed="false">
      <c r="A72" s="6" t="n">
        <v>49</v>
      </c>
      <c r="B72" s="6" t="s">
        <v>517</v>
      </c>
      <c r="C72" s="9" t="str">
        <f aca="false">IFERROR(INDEX(exercicio!$B$2:$B$190,MATCH(A72,exercicio!$A$2:$A$190,0)),"")</f>
        <v>Cadeira Flexora</v>
      </c>
    </row>
    <row r="73" customFormat="false" ht="15" hidden="false" customHeight="false" outlineLevel="0" collapsed="false">
      <c r="A73" s="6" t="n">
        <v>51</v>
      </c>
      <c r="B73" s="6" t="s">
        <v>261</v>
      </c>
      <c r="C73" s="9" t="str">
        <f aca="false">IFERROR(INDEX(exercicio!$B$2:$B$190,MATCH(A73,exercicio!$A$2:$A$190,0)),"")</f>
        <v>Stiff Unilateral</v>
      </c>
    </row>
    <row r="74" customFormat="false" ht="15" hidden="false" customHeight="false" outlineLevel="0" collapsed="false">
      <c r="A74" s="6" t="n">
        <v>51</v>
      </c>
      <c r="B74" s="6" t="s">
        <v>518</v>
      </c>
      <c r="C74" s="9" t="str">
        <f aca="false">IFERROR(INDEX(exercicio!$B$2:$B$190,MATCH(A74,exercicio!$A$2:$A$190,0)),"")</f>
        <v>Stiff Unilateral</v>
      </c>
    </row>
    <row r="75" customFormat="false" ht="15" hidden="false" customHeight="false" outlineLevel="0" collapsed="false">
      <c r="A75" s="6" t="n">
        <v>52</v>
      </c>
      <c r="B75" s="6" t="s">
        <v>265</v>
      </c>
      <c r="C75" s="9" t="str">
        <f aca="false">IFERROR(INDEX(exercicio!$B$2:$B$190,MATCH(A75,exercicio!$A$2:$A$190,0)),"")</f>
        <v>Levantamento Terra</v>
      </c>
    </row>
    <row r="76" customFormat="false" ht="15" hidden="false" customHeight="false" outlineLevel="0" collapsed="false">
      <c r="A76" s="6" t="n">
        <v>52</v>
      </c>
      <c r="B76" s="6" t="s">
        <v>519</v>
      </c>
      <c r="C76" s="9" t="str">
        <f aca="false">IFERROR(INDEX(exercicio!$B$2:$B$190,MATCH(A76,exercicio!$A$2:$A$190,0)),"")</f>
        <v>Levantamento Terra</v>
      </c>
    </row>
    <row r="77" customFormat="false" ht="15" hidden="false" customHeight="false" outlineLevel="0" collapsed="false">
      <c r="A77" s="6" t="n">
        <v>53</v>
      </c>
      <c r="B77" s="6" t="s">
        <v>520</v>
      </c>
      <c r="C77" s="9" t="str">
        <f aca="false">IFERROR(INDEX(exercicio!$B$2:$B$190,MATCH(A77,exercicio!$A$2:$A$190,0)),"")</f>
        <v>Elevação Pélvica com Peso do Corpo</v>
      </c>
    </row>
    <row r="78" customFormat="false" ht="15" hidden="false" customHeight="false" outlineLevel="0" collapsed="false">
      <c r="A78" s="6" t="n">
        <v>53</v>
      </c>
      <c r="B78" s="6" t="s">
        <v>270</v>
      </c>
      <c r="C78" s="9" t="str">
        <f aca="false">IFERROR(INDEX(exercicio!$B$2:$B$190,MATCH(A78,exercicio!$A$2:$A$190,0)),"")</f>
        <v>Elevação Pélvica com Peso do Corpo</v>
      </c>
    </row>
    <row r="79" customFormat="false" ht="15" hidden="false" customHeight="false" outlineLevel="0" collapsed="false">
      <c r="A79" s="6" t="n">
        <v>54</v>
      </c>
      <c r="B79" s="6" t="s">
        <v>521</v>
      </c>
      <c r="C79" s="9" t="str">
        <f aca="false">IFERROR(INDEX(exercicio!$B$2:$B$190,MATCH(A79,exercicio!$A$2:$A$190,0)),"")</f>
        <v>Elevação Pélvica com Barra</v>
      </c>
    </row>
    <row r="80" customFormat="false" ht="15" hidden="false" customHeight="false" outlineLevel="0" collapsed="false">
      <c r="A80" s="6" t="n">
        <v>55</v>
      </c>
      <c r="B80" s="6" t="s">
        <v>522</v>
      </c>
      <c r="C80" s="9" t="str">
        <f aca="false">IFERROR(INDEX(exercicio!$B$2:$B$190,MATCH(A80,exercicio!$A$2:$A$190,0)),"")</f>
        <v>Elevação de Panturrilha em Pé com Peso do Corpo</v>
      </c>
    </row>
    <row r="81" customFormat="false" ht="15" hidden="false" customHeight="false" outlineLevel="0" collapsed="false">
      <c r="A81" s="6" t="n">
        <v>59</v>
      </c>
      <c r="B81" s="6" t="s">
        <v>523</v>
      </c>
      <c r="C81" s="9" t="str">
        <f aca="false">IFERROR(INDEX(exercicio!$B$2:$B$190,MATCH(A81,exercicio!$A$2:$A$190,0)),"")</f>
        <v>Prancha</v>
      </c>
    </row>
    <row r="82" customFormat="false" ht="15" hidden="false" customHeight="false" outlineLevel="0" collapsed="false">
      <c r="A82" s="6" t="n">
        <v>59</v>
      </c>
      <c r="B82" s="6" t="s">
        <v>524</v>
      </c>
      <c r="C82" s="9" t="str">
        <f aca="false">IFERROR(INDEX(exercicio!$B$2:$B$190,MATCH(A82,exercicio!$A$2:$A$190,0)),"")</f>
        <v>Prancha</v>
      </c>
    </row>
    <row r="83" customFormat="false" ht="15" hidden="false" customHeight="false" outlineLevel="0" collapsed="false">
      <c r="A83" s="6" t="n">
        <v>60</v>
      </c>
      <c r="B83" s="6" t="s">
        <v>299</v>
      </c>
      <c r="C83" s="9" t="str">
        <f aca="false">IFERROR(INDEX(exercicio!$B$2:$B$190,MATCH(A83,exercicio!$A$2:$A$190,0)),"")</f>
        <v>Abdominal Supra</v>
      </c>
    </row>
    <row r="84" customFormat="false" ht="15" hidden="false" customHeight="false" outlineLevel="0" collapsed="false">
      <c r="A84" s="6" t="n">
        <v>60</v>
      </c>
      <c r="B84" s="6" t="s">
        <v>525</v>
      </c>
      <c r="C84" s="9" t="str">
        <f aca="false">IFERROR(INDEX(exercicio!$B$2:$B$190,MATCH(A84,exercicio!$A$2:$A$190,0)),"")</f>
        <v>Abdominal Supra</v>
      </c>
    </row>
    <row r="85" customFormat="false" ht="15" hidden="false" customHeight="false" outlineLevel="0" collapsed="false">
      <c r="A85" s="6" t="n">
        <v>61</v>
      </c>
      <c r="B85" s="6" t="s">
        <v>526</v>
      </c>
      <c r="C85" s="9" t="str">
        <f aca="false">IFERROR(INDEX(exercicio!$B$2:$B$190,MATCH(A85,exercicio!$A$2:$A$190,0)),"")</f>
        <v>Elevação de Pernas</v>
      </c>
    </row>
    <row r="86" customFormat="false" ht="15" hidden="false" customHeight="false" outlineLevel="0" collapsed="false">
      <c r="A86" s="6" t="n">
        <v>62</v>
      </c>
      <c r="B86" s="6" t="s">
        <v>307</v>
      </c>
      <c r="C86" s="9" t="str">
        <f aca="false">IFERROR(INDEX(exercicio!$B$2:$B$190,MATCH(A86,exercicio!$A$2:$A$190,0)),"")</f>
        <v>Escalador</v>
      </c>
    </row>
    <row r="87" customFormat="false" ht="15" hidden="false" customHeight="false" outlineLevel="0" collapsed="false">
      <c r="A87" s="6" t="n">
        <v>63</v>
      </c>
      <c r="B87" s="6" t="s">
        <v>312</v>
      </c>
      <c r="C87" s="9" t="str">
        <f aca="false">IFERROR(INDEX(exercicio!$B$2:$B$190,MATCH(A87,exercicio!$A$2:$A$190,0)),"")</f>
        <v>Abdominal na Polia Alta</v>
      </c>
    </row>
    <row r="88" customFormat="false" ht="15" hidden="false" customHeight="false" outlineLevel="0" collapsed="false">
      <c r="A88" s="6" t="n">
        <v>64</v>
      </c>
      <c r="B88" s="6" t="s">
        <v>527</v>
      </c>
      <c r="C88" s="9" t="str">
        <f aca="false">IFERROR(INDEX(exercicio!$B$2:$B$190,MATCH(A88,exercicio!$A$2:$A$190,0)),"")</f>
        <v>Abdominal na Máquina</v>
      </c>
    </row>
    <row r="89" customFormat="false" ht="15" hidden="false" customHeight="false" outlineLevel="0" collapsed="false">
      <c r="A89" s="6" t="n">
        <v>65</v>
      </c>
      <c r="B89" s="6" t="s">
        <v>528</v>
      </c>
      <c r="C89" s="9" t="str">
        <f aca="false">IFERROR(INDEX(exercicio!$B$2:$B$190,MATCH(A89,exercicio!$A$2:$A$190,0)),"")</f>
        <v>Rolamento com Roda Abdominal</v>
      </c>
    </row>
    <row r="90" customFormat="false" ht="15" hidden="false" customHeight="false" outlineLevel="0" collapsed="false">
      <c r="A90" s="6" t="n">
        <v>65</v>
      </c>
      <c r="B90" s="6" t="s">
        <v>529</v>
      </c>
      <c r="C90" s="9" t="str">
        <f aca="false">IFERROR(INDEX(exercicio!$B$2:$B$190,MATCH(A90,exercicio!$A$2:$A$190,0)),"")</f>
        <v>Rolamento com Roda Abdominal</v>
      </c>
    </row>
    <row r="91" customFormat="false" ht="15" hidden="false" customHeight="false" outlineLevel="0" collapsed="false">
      <c r="A91" s="6" t="n">
        <v>67</v>
      </c>
      <c r="B91" s="6" t="s">
        <v>530</v>
      </c>
      <c r="C91" s="9" t="str">
        <f aca="false">IFERROR(INDEX(exercicio!$B$2:$B$190,MATCH(A91,exercicio!$A$2:$A$190,0)),"")</f>
        <v>Supino Reto com Halteres</v>
      </c>
    </row>
    <row r="92" customFormat="false" ht="15" hidden="false" customHeight="false" outlineLevel="0" collapsed="false">
      <c r="A92" s="6" t="n">
        <v>68</v>
      </c>
      <c r="B92" s="6" t="s">
        <v>531</v>
      </c>
      <c r="C92" s="9" t="str">
        <f aca="false">IFERROR(INDEX(exercicio!$B$2:$B$190,MATCH(A92,exercicio!$A$2:$A$190,0)),"")</f>
        <v>Supino Inclinado com Barra</v>
      </c>
    </row>
    <row r="93" customFormat="false" ht="15" hidden="false" customHeight="false" outlineLevel="0" collapsed="false">
      <c r="A93" s="6" t="n">
        <v>68</v>
      </c>
      <c r="B93" s="6" t="s">
        <v>532</v>
      </c>
      <c r="C93" s="9" t="str">
        <f aca="false">IFERROR(INDEX(exercicio!$B$2:$B$190,MATCH(A93,exercicio!$A$2:$A$190,0)),"")</f>
        <v>Supino Inclinado com Barra</v>
      </c>
    </row>
    <row r="94" customFormat="false" ht="15" hidden="false" customHeight="false" outlineLevel="0" collapsed="false">
      <c r="A94" s="6" t="n">
        <v>69</v>
      </c>
      <c r="B94" s="6" t="s">
        <v>533</v>
      </c>
      <c r="C94" s="9" t="str">
        <f aca="false">IFERROR(INDEX(exercicio!$B$2:$B$190,MATCH(A94,exercicio!$A$2:$A$190,0)),"")</f>
        <v>Supino na Máquina</v>
      </c>
    </row>
    <row r="95" customFormat="false" ht="15" hidden="false" customHeight="false" outlineLevel="0" collapsed="false">
      <c r="A95" s="6" t="n">
        <v>69</v>
      </c>
      <c r="B95" s="6" t="s">
        <v>534</v>
      </c>
      <c r="C95" s="9" t="str">
        <f aca="false">IFERROR(INDEX(exercicio!$B$2:$B$190,MATCH(A95,exercicio!$A$2:$A$190,0)),"")</f>
        <v>Supino na Máquina</v>
      </c>
    </row>
    <row r="96" customFormat="false" ht="15" hidden="false" customHeight="false" outlineLevel="0" collapsed="false">
      <c r="A96" s="6" t="n">
        <v>69</v>
      </c>
      <c r="B96" s="6" t="s">
        <v>535</v>
      </c>
      <c r="C96" s="9" t="str">
        <f aca="false">IFERROR(INDEX(exercicio!$B$2:$B$190,MATCH(A96,exercicio!$A$2:$A$190,0)),"")</f>
        <v>Supino na Máquina</v>
      </c>
    </row>
    <row r="97" customFormat="false" ht="15" hidden="false" customHeight="false" outlineLevel="0" collapsed="false">
      <c r="A97" s="6" t="n">
        <v>71</v>
      </c>
      <c r="B97" s="6" t="s">
        <v>536</v>
      </c>
      <c r="C97" s="9" t="str">
        <f aca="false">IFERROR(INDEX(exercicio!$B$2:$B$190,MATCH(A97,exercicio!$A$2:$A$190,0)),"")</f>
        <v>Crucifixo Reto com Halteres</v>
      </c>
    </row>
    <row r="98" customFormat="false" ht="15" hidden="false" customHeight="false" outlineLevel="0" collapsed="false">
      <c r="A98" s="6" t="n">
        <v>71</v>
      </c>
      <c r="B98" s="6" t="s">
        <v>537</v>
      </c>
      <c r="C98" s="9" t="str">
        <f aca="false">IFERROR(INDEX(exercicio!$B$2:$B$190,MATCH(A98,exercicio!$A$2:$A$190,0)),"")</f>
        <v>Crucifixo Reto com Halteres</v>
      </c>
    </row>
    <row r="99" customFormat="false" ht="15" hidden="false" customHeight="false" outlineLevel="0" collapsed="false">
      <c r="A99" s="6" t="n">
        <v>72</v>
      </c>
      <c r="B99" s="6" t="s">
        <v>538</v>
      </c>
      <c r="C99" s="9" t="str">
        <f aca="false">IFERROR(INDEX(exercicio!$B$2:$B$190,MATCH(A99,exercicio!$A$2:$A$190,0)),"")</f>
        <v>Crossover na Polia</v>
      </c>
    </row>
    <row r="100" customFormat="false" ht="15" hidden="false" customHeight="false" outlineLevel="0" collapsed="false">
      <c r="A100" s="6" t="n">
        <v>72</v>
      </c>
      <c r="B100" s="6" t="s">
        <v>539</v>
      </c>
      <c r="C100" s="9" t="str">
        <f aca="false">IFERROR(INDEX(exercicio!$B$2:$B$190,MATCH(A100,exercicio!$A$2:$A$190,0)),"")</f>
        <v>Crossover na Polia</v>
      </c>
    </row>
    <row r="101" customFormat="false" ht="15" hidden="false" customHeight="false" outlineLevel="0" collapsed="false">
      <c r="A101" s="6" t="n">
        <v>72</v>
      </c>
      <c r="B101" s="6" t="s">
        <v>540</v>
      </c>
      <c r="C101" s="9" t="str">
        <f aca="false">IFERROR(INDEX(exercicio!$B$2:$B$190,MATCH(A101,exercicio!$A$2:$A$190,0)),"")</f>
        <v>Crossover na Polia</v>
      </c>
    </row>
    <row r="102" customFormat="false" ht="15" hidden="false" customHeight="false" outlineLevel="0" collapsed="false">
      <c r="A102" s="6" t="n">
        <v>72</v>
      </c>
      <c r="B102" s="6" t="s">
        <v>541</v>
      </c>
      <c r="C102" s="9" t="str">
        <f aca="false">IFERROR(INDEX(exercicio!$B$2:$B$190,MATCH(A102,exercicio!$A$2:$A$190,0)),"")</f>
        <v>Crossover na Polia</v>
      </c>
    </row>
    <row r="103" customFormat="false" ht="15" hidden="false" customHeight="false" outlineLevel="0" collapsed="false">
      <c r="A103" s="6" t="n">
        <v>73</v>
      </c>
      <c r="B103" s="6" t="s">
        <v>542</v>
      </c>
      <c r="C103" s="9" t="str">
        <f aca="false">IFERROR(INDEX(exercicio!$B$2:$B$190,MATCH(A103,exercicio!$A$2:$A$190,0)),"")</f>
        <v>Elevação Lateral com Halteres</v>
      </c>
    </row>
    <row r="104" customFormat="false" ht="15" hidden="false" customHeight="false" outlineLevel="0" collapsed="false">
      <c r="A104" s="6" t="n">
        <v>73</v>
      </c>
      <c r="B104" s="6" t="s">
        <v>543</v>
      </c>
      <c r="C104" s="9" t="str">
        <f aca="false">IFERROR(INDEX(exercicio!$B$2:$B$190,MATCH(A104,exercicio!$A$2:$A$190,0)),"")</f>
        <v>Elevação Lateral com Halteres</v>
      </c>
    </row>
    <row r="105" customFormat="false" ht="15" hidden="false" customHeight="false" outlineLevel="0" collapsed="false">
      <c r="A105" s="6" t="n">
        <v>74</v>
      </c>
      <c r="B105" s="6" t="s">
        <v>544</v>
      </c>
      <c r="C105" s="9" t="str">
        <f aca="false">IFERROR(INDEX(exercicio!$B$2:$B$190,MATCH(A105,exercicio!$A$2:$A$190,0)),"")</f>
        <v>Desenvolvimento na Máquina</v>
      </c>
    </row>
    <row r="106" customFormat="false" ht="15" hidden="false" customHeight="false" outlineLevel="0" collapsed="false">
      <c r="A106" s="6" t="n">
        <v>74</v>
      </c>
      <c r="B106" s="6" t="s">
        <v>545</v>
      </c>
      <c r="C106" s="9" t="str">
        <f aca="false">IFERROR(INDEX(exercicio!$B$2:$B$190,MATCH(A106,exercicio!$A$2:$A$190,0)),"")</f>
        <v>Desenvolvimento na Máquina</v>
      </c>
    </row>
    <row r="107" customFormat="false" ht="15" hidden="false" customHeight="false" outlineLevel="0" collapsed="false">
      <c r="A107" s="6" t="n">
        <v>75</v>
      </c>
      <c r="B107" s="6" t="s">
        <v>546</v>
      </c>
      <c r="C107" s="9" t="str">
        <f aca="false">IFERROR(INDEX(exercicio!$B$2:$B$190,MATCH(A107,exercicio!$A$2:$A$190,0)),"")</f>
        <v>Elevação Frontal na Polia</v>
      </c>
    </row>
    <row r="108" customFormat="false" ht="15" hidden="false" customHeight="false" outlineLevel="0" collapsed="false">
      <c r="A108" s="6" t="n">
        <v>75</v>
      </c>
      <c r="B108" s="6" t="s">
        <v>547</v>
      </c>
      <c r="C108" s="9" t="str">
        <f aca="false">IFERROR(INDEX(exercicio!$B$2:$B$190,MATCH(A108,exercicio!$A$2:$A$190,0)),"")</f>
        <v>Elevação Frontal na Polia</v>
      </c>
    </row>
    <row r="109" customFormat="false" ht="15" hidden="false" customHeight="false" outlineLevel="0" collapsed="false">
      <c r="A109" s="6" t="n">
        <v>76</v>
      </c>
      <c r="B109" s="6" t="s">
        <v>548</v>
      </c>
      <c r="C109" s="9" t="str">
        <f aca="false">IFERROR(INDEX(exercicio!$B$2:$B$190,MATCH(A109,exercicio!$A$2:$A$190,0)),"")</f>
        <v>Puxada Alta com Triângulo</v>
      </c>
    </row>
    <row r="110" customFormat="false" ht="15" hidden="false" customHeight="false" outlineLevel="0" collapsed="false">
      <c r="A110" s="6" t="n">
        <v>76</v>
      </c>
      <c r="B110" s="6" t="s">
        <v>549</v>
      </c>
      <c r="C110" s="9" t="str">
        <f aca="false">IFERROR(INDEX(exercicio!$B$2:$B$190,MATCH(A110,exercicio!$A$2:$A$190,0)),"")</f>
        <v>Puxada Alta com Triângulo</v>
      </c>
    </row>
    <row r="111" customFormat="false" ht="15" hidden="false" customHeight="false" outlineLevel="0" collapsed="false">
      <c r="A111" s="6" t="n">
        <v>77</v>
      </c>
      <c r="B111" s="6" t="s">
        <v>368</v>
      </c>
      <c r="C111" s="9" t="str">
        <f aca="false">IFERROR(INDEX(exercicio!$B$2:$B$190,MATCH(A111,exercicio!$A$2:$A$190,0)),"")</f>
        <v>Remada Cavalinho</v>
      </c>
    </row>
    <row r="112" customFormat="false" ht="15" hidden="false" customHeight="false" outlineLevel="0" collapsed="false">
      <c r="A112" s="6" t="n">
        <v>77</v>
      </c>
      <c r="B112" s="6" t="s">
        <v>550</v>
      </c>
      <c r="C112" s="9" t="str">
        <f aca="false">IFERROR(INDEX(exercicio!$B$2:$B$190,MATCH(A112,exercicio!$A$2:$A$190,0)),"")</f>
        <v>Remada Cavalinho</v>
      </c>
    </row>
    <row r="113" customFormat="false" ht="15" hidden="false" customHeight="false" outlineLevel="0" collapsed="false">
      <c r="A113" s="6" t="n">
        <v>78</v>
      </c>
      <c r="B113" s="6" t="s">
        <v>551</v>
      </c>
      <c r="C113" s="9" t="str">
        <f aca="false">IFERROR(INDEX(exercicio!$B$2:$B$190,MATCH(A113,exercicio!$A$2:$A$190,0)),"")</f>
        <v>Rosca Martelo</v>
      </c>
    </row>
    <row r="114" customFormat="false" ht="15" hidden="false" customHeight="false" outlineLevel="0" collapsed="false">
      <c r="A114" s="6" t="n">
        <v>79</v>
      </c>
      <c r="B114" s="6" t="s">
        <v>552</v>
      </c>
      <c r="C114" s="9" t="str">
        <f aca="false">IFERROR(INDEX(exercicio!$B$2:$B$190,MATCH(A114,exercicio!$A$2:$A$190,0)),"")</f>
        <v>Rosca por Trás do Corpo na Polia</v>
      </c>
    </row>
    <row r="115" customFormat="false" ht="15" hidden="false" customHeight="false" outlineLevel="0" collapsed="false">
      <c r="A115" s="6" t="n">
        <v>79</v>
      </c>
      <c r="B115" s="6" t="s">
        <v>553</v>
      </c>
      <c r="C115" s="9" t="str">
        <f aca="false">IFERROR(INDEX(exercicio!$B$2:$B$190,MATCH(A115,exercicio!$A$2:$A$190,0)),"")</f>
        <v>Rosca por Trás do Corpo na Polia</v>
      </c>
    </row>
    <row r="116" customFormat="false" ht="15" hidden="false" customHeight="false" outlineLevel="0" collapsed="false">
      <c r="A116" s="6" t="n">
        <v>79</v>
      </c>
      <c r="B116" s="6" t="s">
        <v>554</v>
      </c>
      <c r="C116" s="9" t="str">
        <f aca="false">IFERROR(INDEX(exercicio!$B$2:$B$190,MATCH(A116,exercicio!$A$2:$A$190,0)),"")</f>
        <v>Rosca por Trás do Corpo na Polia</v>
      </c>
    </row>
    <row r="117" customFormat="false" ht="15" hidden="false" customHeight="false" outlineLevel="0" collapsed="false">
      <c r="A117" s="6" t="n">
        <v>80</v>
      </c>
      <c r="B117" s="6" t="s">
        <v>555</v>
      </c>
      <c r="C117" s="9" t="str">
        <f aca="false">IFERROR(INDEX(exercicio!$B$2:$B$190,MATCH(A117,exercicio!$A$2:$A$190,0)),"")</f>
        <v>Tríceps Testa com Barra W</v>
      </c>
    </row>
    <row r="118" customFormat="false" ht="15" hidden="false" customHeight="false" outlineLevel="0" collapsed="false">
      <c r="A118" s="6" t="n">
        <v>80</v>
      </c>
      <c r="B118" s="6" t="s">
        <v>556</v>
      </c>
      <c r="C118" s="9" t="str">
        <f aca="false">IFERROR(INDEX(exercicio!$B$2:$B$190,MATCH(A118,exercicio!$A$2:$A$190,0)),"")</f>
        <v>Tríceps Testa com Barra W</v>
      </c>
    </row>
    <row r="119" customFormat="false" ht="15" hidden="false" customHeight="false" outlineLevel="0" collapsed="false">
      <c r="A119" s="6" t="n">
        <v>81</v>
      </c>
      <c r="B119" s="6" t="s">
        <v>557</v>
      </c>
      <c r="C119" s="9" t="str">
        <f aca="false">IFERROR(INDEX(exercicio!$B$2:$B$190,MATCH(A119,exercicio!$A$2:$A$190,0)),"")</f>
        <v>Agachamento no Smith</v>
      </c>
    </row>
    <row r="120" customFormat="false" ht="15" hidden="false" customHeight="false" outlineLevel="0" collapsed="false">
      <c r="A120" s="6" t="n">
        <v>81</v>
      </c>
      <c r="B120" s="6" t="s">
        <v>558</v>
      </c>
      <c r="C120" s="9" t="str">
        <f aca="false">IFERROR(INDEX(exercicio!$B$2:$B$190,MATCH(A120,exercicio!$A$2:$A$190,0)),"")</f>
        <v>Agachamento no Smith</v>
      </c>
    </row>
    <row r="121" customFormat="false" ht="15" hidden="false" customHeight="false" outlineLevel="0" collapsed="false">
      <c r="A121" s="6" t="n">
        <v>82</v>
      </c>
      <c r="B121" s="6" t="s">
        <v>389</v>
      </c>
      <c r="C121" s="9" t="str">
        <f aca="false">IFERROR(INDEX(exercicio!$B$2:$B$190,MATCH(A121,exercicio!$A$2:$A$190,0)),"")</f>
        <v>Agachamento Hack</v>
      </c>
    </row>
    <row r="122" customFormat="false" ht="15" hidden="false" customHeight="false" outlineLevel="0" collapsed="false">
      <c r="A122" s="6" t="n">
        <v>82</v>
      </c>
      <c r="B122" s="6" t="s">
        <v>559</v>
      </c>
      <c r="C122" s="9" t="str">
        <f aca="false">IFERROR(INDEX(exercicio!$B$2:$B$190,MATCH(A122,exercicio!$A$2:$A$190,0)),"")</f>
        <v>Agachamento Hack</v>
      </c>
    </row>
    <row r="123" customFormat="false" ht="15" hidden="false" customHeight="false" outlineLevel="0" collapsed="false">
      <c r="A123" s="6" t="n">
        <v>83</v>
      </c>
      <c r="B123" s="6" t="s">
        <v>393</v>
      </c>
      <c r="C123" s="9" t="str">
        <f aca="false">IFERROR(INDEX(exercicio!$B$2:$B$190,MATCH(A123,exercicio!$A$2:$A$190,0)),"")</f>
        <v>Mesa Flexora</v>
      </c>
    </row>
    <row r="124" customFormat="false" ht="15" hidden="false" customHeight="false" outlineLevel="0" collapsed="false">
      <c r="A124" s="6" t="n">
        <v>83</v>
      </c>
      <c r="B124" s="6" t="s">
        <v>560</v>
      </c>
      <c r="C124" s="9" t="str">
        <f aca="false">IFERROR(INDEX(exercicio!$B$2:$B$190,MATCH(A124,exercicio!$A$2:$A$190,0)),"")</f>
        <v>Mesa Flexora</v>
      </c>
    </row>
    <row r="125" customFormat="false" ht="15" hidden="false" customHeight="false" outlineLevel="0" collapsed="false">
      <c r="A125" s="6" t="n">
        <v>84</v>
      </c>
      <c r="B125" s="6" t="s">
        <v>561</v>
      </c>
      <c r="C125" s="9" t="str">
        <f aca="false">IFERROR(INDEX(exercicio!$B$2:$B$190,MATCH(A125,exercicio!$A$2:$A$190,0)),"")</f>
        <v>Elevação de Panturrilha Sentado</v>
      </c>
    </row>
    <row r="126" customFormat="false" ht="15" hidden="false" customHeight="false" outlineLevel="0" collapsed="false">
      <c r="A126" s="6" t="n">
        <v>84</v>
      </c>
      <c r="B126" s="6" t="s">
        <v>562</v>
      </c>
      <c r="C126" s="9" t="str">
        <f aca="false">IFERROR(INDEX(exercicio!$B$2:$B$190,MATCH(A126,exercicio!$A$2:$A$190,0)),"")</f>
        <v>Elevação de Panturrilha Sentado</v>
      </c>
    </row>
    <row r="127" customFormat="false" ht="15" hidden="false" customHeight="false" outlineLevel="0" collapsed="false">
      <c r="A127" s="6" t="n">
        <v>84</v>
      </c>
      <c r="B127" s="6" t="s">
        <v>397</v>
      </c>
      <c r="C127" s="9" t="str">
        <f aca="false">IFERROR(INDEX(exercicio!$B$2:$B$190,MATCH(A127,exercicio!$A$2:$A$190,0)),"")</f>
        <v>Elevação de Panturrilha Sentado</v>
      </c>
    </row>
    <row r="128" customFormat="false" ht="15" hidden="false" customHeight="false" outlineLevel="0" collapsed="false">
      <c r="A128" s="6" t="n">
        <v>85</v>
      </c>
      <c r="B128" s="6" t="s">
        <v>563</v>
      </c>
      <c r="C128" s="9" t="str">
        <f aca="false">IFERROR(INDEX(exercicio!$B$2:$B$190,MATCH(A128,exercicio!$A$2:$A$190,0)),"")</f>
        <v>Cadeira Adutora</v>
      </c>
    </row>
    <row r="129" customFormat="false" ht="15" hidden="false" customHeight="false" outlineLevel="0" collapsed="false">
      <c r="A129" s="6" t="n">
        <v>86</v>
      </c>
      <c r="B129" s="6" t="s">
        <v>564</v>
      </c>
      <c r="C129" s="9" t="str">
        <f aca="false">IFERROR(INDEX(exercicio!$B$2:$B$190,MATCH(A129,exercicio!$A$2:$A$190,0)),"")</f>
        <v>Cadeira Abdutora</v>
      </c>
    </row>
    <row r="130" customFormat="false" ht="15" hidden="false" customHeight="false" outlineLevel="0" collapsed="false">
      <c r="A130" s="6" t="n">
        <v>87</v>
      </c>
      <c r="B130" s="6" t="s">
        <v>409</v>
      </c>
      <c r="C130" s="9" t="str">
        <f aca="false">IFERROR(INDEX(exercicio!$B$2:$B$190,MATCH(A130,exercicio!$A$2:$A$190,0)),"")</f>
        <v>Abdução de Quadril Deitado de Lado</v>
      </c>
    </row>
    <row r="131" customFormat="false" ht="15" hidden="false" customHeight="false" outlineLevel="0" collapsed="false">
      <c r="A131" s="6" t="n">
        <v>87</v>
      </c>
      <c r="B131" s="6" t="s">
        <v>565</v>
      </c>
      <c r="C131" s="9" t="str">
        <f aca="false">IFERROR(INDEX(exercicio!$B$2:$B$190,MATCH(A131,exercicio!$A$2:$A$190,0)),"")</f>
        <v>Abdução de Quadril Deitado de Lado</v>
      </c>
    </row>
    <row r="132" customFormat="false" ht="15" hidden="false" customHeight="false" outlineLevel="0" collapsed="false">
      <c r="A132" s="6" t="n">
        <v>88</v>
      </c>
      <c r="B132" s="6" t="s">
        <v>414</v>
      </c>
      <c r="C132" s="9" t="str">
        <f aca="false">IFERROR(INDEX(exercicio!$B$2:$B$190,MATCH(A132,exercicio!$A$2:$A$190,0)),"")</f>
        <v>Adução de Quadril Deitado de Lado</v>
      </c>
    </row>
    <row r="133" customFormat="false" ht="15" hidden="false" customHeight="false" outlineLevel="0" collapsed="false">
      <c r="A133" s="6" t="n">
        <v>88</v>
      </c>
      <c r="B133" s="6" t="s">
        <v>566</v>
      </c>
      <c r="C133" s="9" t="str">
        <f aca="false">IFERROR(INDEX(exercicio!$B$2:$B$190,MATCH(A133,exercicio!$A$2:$A$190,0)),"")</f>
        <v>Adução de Quadril Deitado de Lado</v>
      </c>
    </row>
    <row r="134" customFormat="false" ht="15" hidden="false" customHeight="false" outlineLevel="0" collapsed="false">
      <c r="A134" s="6" t="n">
        <v>89</v>
      </c>
      <c r="B134" s="6" t="s">
        <v>567</v>
      </c>
      <c r="C134" s="9" t="str">
        <f aca="false">IFERROR(INDEX(exercicio!$B$2:$B$190,MATCH(A134,exercicio!$A$2:$A$190,0)),"")</f>
        <v>Afundo Lateral</v>
      </c>
    </row>
    <row r="135" customFormat="false" ht="15" hidden="false" customHeight="false" outlineLevel="0" collapsed="false">
      <c r="A135" s="6" t="n">
        <v>89</v>
      </c>
      <c r="B135" s="6" t="s">
        <v>419</v>
      </c>
      <c r="C135" s="9" t="str">
        <f aca="false">IFERROR(INDEX(exercicio!$B$2:$B$190,MATCH(A135,exercicio!$A$2:$A$190,0)),"")</f>
        <v>Afundo Lateral</v>
      </c>
    </row>
  </sheetData>
  <autoFilter ref="A1:C1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D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38"/>
    <col collapsed="false" customWidth="true" hidden="false" outlineLevel="0" max="4" min="4" style="0" width="60"/>
  </cols>
  <sheetData>
    <row r="1" customFormat="false" ht="31.5" hidden="false" customHeight="true" outlineLevel="0" collapsed="false">
      <c r="A1" s="4" t="s">
        <v>422</v>
      </c>
      <c r="B1" s="4" t="s">
        <v>568</v>
      </c>
      <c r="C1" s="5" t="s">
        <v>425</v>
      </c>
      <c r="D1" s="5" t="s">
        <v>569</v>
      </c>
    </row>
    <row r="2" customFormat="false" ht="15" hidden="false" customHeight="false" outlineLevel="0" collapsed="false">
      <c r="A2" s="6" t="n">
        <v>1</v>
      </c>
      <c r="B2" s="6" t="n">
        <v>1</v>
      </c>
      <c r="C2" s="9" t="str">
        <f aca="false">IFERROR(INDEX(exercicio!$B$2:$B$190,MATCH(A2,exercicio!$A$2:$A$190,0)),"")</f>
        <v>Supino Reto com Barra</v>
      </c>
      <c r="D2" s="9" t="str">
        <f aca="false">IFERROR(INDEX(fonte!$B$2:$B$200,MATCH(B2,fonte!$A$2:$A$200,0))&amp;" - "&amp;INDEX(fonte!$C$2:$C$200,MATCH(B2,fonte!$A$2:$A$200,0)),"")</f>
        <v>JOI Rehab &amp; Sports Medicine - Proper Bench Press Technique</v>
      </c>
    </row>
    <row r="3" customFormat="false" ht="15" hidden="false" customHeight="false" outlineLevel="0" collapsed="false">
      <c r="A3" s="6" t="n">
        <v>2</v>
      </c>
      <c r="B3" s="6" t="n">
        <v>2</v>
      </c>
      <c r="C3" s="9" t="str">
        <f aca="false">IFERROR(INDEX(exercicio!$B$2:$B$190,MATCH(A3,exercicio!$A$2:$A$190,0)),"")</f>
        <v>Supino Inclinado com Halteres</v>
      </c>
      <c r="D3" s="9" t="str">
        <f aca="false">IFERROR(INDEX(fonte!$B$2:$B$200,MATCH(B3,fonte!$A$2:$A$200,0))&amp;" - "&amp;INDEX(fonte!$C$2:$C$200,MATCH(B3,fonte!$A$2:$A$200,0)),"")</f>
        <v>NASM - Two-Arm Incline Dumbbell Chest Press</v>
      </c>
    </row>
    <row r="4" customFormat="false" ht="15" hidden="false" customHeight="false" outlineLevel="0" collapsed="false">
      <c r="A4" s="6" t="n">
        <v>3</v>
      </c>
      <c r="B4" s="6" t="n">
        <v>80</v>
      </c>
      <c r="C4" s="9" t="str">
        <f aca="false">IFERROR(INDEX(exercicio!$B$2:$B$190,MATCH(A4,exercicio!$A$2:$A$190,0)),"")</f>
        <v>Voador Peitoral</v>
      </c>
      <c r="D4" s="9" t="str">
        <f aca="false">IFERROR(INDEX(fonte!$B$2:$B$200,MATCH(B4,fonte!$A$2:$A$200,0))&amp;" - "&amp;INDEX(fonte!$C$2:$C$200,MATCH(B4,fonte!$A$2:$A$200,0)),"")</f>
        <v>StrengthLog - Pec Deck</v>
      </c>
    </row>
    <row r="5" customFormat="false" ht="15" hidden="false" customHeight="false" outlineLevel="0" collapsed="false">
      <c r="A5" s="6" t="n">
        <v>4</v>
      </c>
      <c r="B5" s="6" t="n">
        <v>81</v>
      </c>
      <c r="C5" s="9" t="str">
        <f aca="false">IFERROR(INDEX(exercicio!$B$2:$B$190,MATCH(A5,exercicio!$A$2:$A$190,0)),"")</f>
        <v>Flexão de Braço</v>
      </c>
      <c r="D5" s="9" t="str">
        <f aca="false">IFERROR(INDEX(fonte!$B$2:$B$200,MATCH(B5,fonte!$A$2:$A$200,0))&amp;" - "&amp;INDEX(fonte!$C$2:$C$200,MATCH(B5,fonte!$A$2:$A$200,0)),"")</f>
        <v>ACE Fitness - Push-Up (#41)</v>
      </c>
    </row>
    <row r="6" customFormat="false" ht="15" hidden="false" customHeight="false" outlineLevel="0" collapsed="false">
      <c r="A6" s="6" t="n">
        <v>4</v>
      </c>
      <c r="B6" s="6" t="n">
        <v>82</v>
      </c>
      <c r="C6" s="9" t="str">
        <f aca="false">IFERROR(INDEX(exercicio!$B$2:$B$190,MATCH(A6,exercicio!$A$2:$A$190,0)),"")</f>
        <v>Flexão de Braço</v>
      </c>
      <c r="D6" s="9" t="str">
        <f aca="false">IFERROR(INDEX(fonte!$B$2:$B$200,MATCH(B6,fonte!$A$2:$A$200,0))&amp;" - "&amp;INDEX(fonte!$C$2:$C$200,MATCH(B6,fonte!$A$2:$A$200,0)),"")</f>
        <v>StrengthLog - Push-Up</v>
      </c>
    </row>
    <row r="7" customFormat="false" ht="15" hidden="false" customHeight="false" outlineLevel="0" collapsed="false">
      <c r="A7" s="6" t="n">
        <v>5</v>
      </c>
      <c r="B7" s="6" t="n">
        <v>3</v>
      </c>
      <c r="C7" s="9" t="str">
        <f aca="false">IFERROR(INDEX(exercicio!$B$2:$B$190,MATCH(A7,exercicio!$A$2:$A$190,0)),"")</f>
        <v>Flexão com Apoio Afastado</v>
      </c>
      <c r="D7" s="9" t="str">
        <f aca="false">IFERROR(INDEX(fonte!$B$2:$B$200,MATCH(B7,fonte!$A$2:$A$200,0))&amp;" - "&amp;INDEX(fonte!$C$2:$C$200,MATCH(B7,fonte!$A$2:$A$200,0)),"")</f>
        <v>Healthline - Wide Push-Ups</v>
      </c>
    </row>
    <row r="8" customFormat="false" ht="15" hidden="false" customHeight="false" outlineLevel="0" collapsed="false">
      <c r="A8" s="6" t="n">
        <v>6</v>
      </c>
      <c r="B8" s="6" t="n">
        <v>3</v>
      </c>
      <c r="C8" s="9" t="str">
        <f aca="false">IFERROR(INDEX(exercicio!$B$2:$B$190,MATCH(A8,exercicio!$A$2:$A$190,0)),"")</f>
        <v>Flexão com Pés Elevados</v>
      </c>
      <c r="D8" s="9" t="str">
        <f aca="false">IFERROR(INDEX(fonte!$B$2:$B$200,MATCH(B8,fonte!$A$2:$A$200,0))&amp;" - "&amp;INDEX(fonte!$C$2:$C$200,MATCH(B8,fonte!$A$2:$A$200,0)),"")</f>
        <v>Healthline - Wide Push-Ups</v>
      </c>
    </row>
    <row r="9" customFormat="false" ht="15" hidden="false" customHeight="false" outlineLevel="0" collapsed="false">
      <c r="A9" s="6" t="n">
        <v>7</v>
      </c>
      <c r="B9" s="6" t="n">
        <v>24</v>
      </c>
      <c r="C9" s="9" t="str">
        <f aca="false">IFERROR(INDEX(exercicio!$B$2:$B$190,MATCH(A9,exercicio!$A$2:$A$190,0)),"")</f>
        <v>Mergulho em Paralelas</v>
      </c>
      <c r="D9" s="9" t="str">
        <f aca="false">IFERROR(INDEX(fonte!$B$2:$B$200,MATCH(B9,fonte!$A$2:$A$200,0))&amp;" - "&amp;INDEX(fonte!$C$2:$C$200,MATCH(B9,fonte!$A$2:$A$200,0)),"")</f>
        <v>FitnessVolt - Parallel Bar Dip Alternatives</v>
      </c>
    </row>
    <row r="10" customFormat="false" ht="15" hidden="false" customHeight="false" outlineLevel="0" collapsed="false">
      <c r="A10" s="6" t="n">
        <v>7</v>
      </c>
      <c r="B10" s="6" t="n">
        <v>99</v>
      </c>
      <c r="C10" s="9" t="str">
        <f aca="false">IFERROR(INDEX(exercicio!$B$2:$B$190,MATCH(A10,exercicio!$A$2:$A$190,0)),"")</f>
        <v>Mergulho em Paralelas</v>
      </c>
      <c r="D10" s="9" t="str">
        <f aca="false">IFERROR(INDEX(fonte!$B$2:$B$200,MATCH(B10,fonte!$A$2:$A$200,0))&amp;" - "&amp;INDEX(fonte!$C$2:$C$200,MATCH(B10,fonte!$A$2:$A$200,0)),"")</f>
        <v>StrengthLog - Bar Dip</v>
      </c>
    </row>
    <row r="11" customFormat="false" ht="15" hidden="false" customHeight="false" outlineLevel="0" collapsed="false">
      <c r="A11" s="6" t="n">
        <v>8</v>
      </c>
      <c r="B11" s="6" t="n">
        <v>22</v>
      </c>
      <c r="C11" s="9" t="str">
        <f aca="false">IFERROR(INDEX(exercicio!$B$2:$B$190,MATCH(A11,exercicio!$A$2:$A$190,0)),"")</f>
        <v>Flexão Diamante</v>
      </c>
      <c r="D11" s="9" t="str">
        <f aca="false">IFERROR(INDEX(fonte!$B$2:$B$200,MATCH(B11,fonte!$A$2:$A$200,0))&amp;" - "&amp;INDEX(fonte!$C$2:$C$200,MATCH(B11,fonte!$A$2:$A$200,0)),"")</f>
        <v>Exercise.com - Close-Grip Push-Up</v>
      </c>
    </row>
    <row r="12" customFormat="false" ht="15" hidden="false" customHeight="false" outlineLevel="0" collapsed="false">
      <c r="A12" s="6" t="n">
        <v>8</v>
      </c>
      <c r="B12" s="6" t="n">
        <v>23</v>
      </c>
      <c r="C12" s="9" t="str">
        <f aca="false">IFERROR(INDEX(exercicio!$B$2:$B$190,MATCH(A12,exercicio!$A$2:$A$190,0)),"")</f>
        <v>Flexão Diamante</v>
      </c>
      <c r="D12" s="9" t="str">
        <f aca="false">IFERROR(INDEX(fonte!$B$2:$B$200,MATCH(B12,fonte!$A$2:$A$200,0))&amp;" - "&amp;INDEX(fonte!$C$2:$C$200,MATCH(B12,fonte!$A$2:$A$200,0)),"")</f>
        <v>ExRx.net - Bodyweight Close Grip Push-up</v>
      </c>
    </row>
    <row r="13" customFormat="false" ht="15" hidden="false" customHeight="false" outlineLevel="0" collapsed="false">
      <c r="A13" s="6" t="n">
        <v>9</v>
      </c>
      <c r="B13" s="6" t="n">
        <v>8</v>
      </c>
      <c r="C13" s="9" t="str">
        <f aca="false">IFERROR(INDEX(exercicio!$B$2:$B$190,MATCH(A13,exercicio!$A$2:$A$190,0)),"")</f>
        <v>Flexão em Pique</v>
      </c>
      <c r="D13" s="9" t="str">
        <f aca="false">IFERROR(INDEX(fonte!$B$2:$B$200,MATCH(B13,fonte!$A$2:$A$200,0))&amp;" - "&amp;INDEX(fonte!$C$2:$C$200,MATCH(B13,fonte!$A$2:$A$200,0)),"")</f>
        <v>NASM - Pike Push-Up</v>
      </c>
    </row>
    <row r="14" customFormat="false" ht="15" hidden="false" customHeight="false" outlineLevel="0" collapsed="false">
      <c r="A14" s="6" t="n">
        <v>10</v>
      </c>
      <c r="B14" s="6" t="n">
        <v>30</v>
      </c>
      <c r="C14" s="9" t="str">
        <f aca="false">IFERROR(INDEX(exercicio!$B$2:$B$190,MATCH(A14,exercicio!$A$2:$A$190,0)),"")</f>
        <v>Flexão nas Pontas dos Dedos</v>
      </c>
      <c r="D14" s="9" t="str">
        <f aca="false">IFERROR(INDEX(fonte!$B$2:$B$200,MATCH(B14,fonte!$A$2:$A$200,0))&amp;" - "&amp;INDEX(fonte!$C$2:$C$200,MATCH(B14,fonte!$A$2:$A$200,0)),"")</f>
        <v>FitnessVolt - The ONLY 3 Grip Strength Exercises You Need</v>
      </c>
    </row>
    <row r="15" customFormat="false" ht="15" hidden="false" customHeight="false" outlineLevel="0" collapsed="false">
      <c r="A15" s="6" t="n">
        <v>11</v>
      </c>
      <c r="B15" s="6" t="n">
        <v>7</v>
      </c>
      <c r="C15" s="9" t="str">
        <f aca="false">IFERROR(INDEX(exercicio!$B$2:$B$190,MATCH(A15,exercicio!$A$2:$A$190,0)),"")</f>
        <v>Desenvolvimento com Halteres</v>
      </c>
      <c r="D15" s="9" t="str">
        <f aca="false">IFERROR(INDEX(fonte!$B$2:$B$200,MATCH(B15,fonte!$A$2:$A$200,0))&amp;" - "&amp;INDEX(fonte!$C$2:$C$200,MATCH(B15,fonte!$A$2:$A$200,0)),"")</f>
        <v>Fitbod - Dumbbell Shoulder Press</v>
      </c>
    </row>
    <row r="16" customFormat="false" ht="15" hidden="false" customHeight="false" outlineLevel="0" collapsed="false">
      <c r="A16" s="6" t="n">
        <v>12</v>
      </c>
      <c r="B16" s="6" t="n">
        <v>4</v>
      </c>
      <c r="C16" s="9" t="str">
        <f aca="false">IFERROR(INDEX(exercicio!$B$2:$B$190,MATCH(A16,exercicio!$A$2:$A$190,0)),"")</f>
        <v>Elevação Lateral no Cabo</v>
      </c>
      <c r="D16" s="9" t="str">
        <f aca="false">IFERROR(INDEX(fonte!$B$2:$B$200,MATCH(B16,fonte!$A$2:$A$200,0))&amp;" - "&amp;INDEX(fonte!$C$2:$C$200,MATCH(B16,fonte!$A$2:$A$200,0)),"")</f>
        <v>StrengthLog - Cable Lateral Raise</v>
      </c>
    </row>
    <row r="17" customFormat="false" ht="15" hidden="false" customHeight="false" outlineLevel="0" collapsed="false">
      <c r="A17" s="6" t="n">
        <v>13</v>
      </c>
      <c r="B17" s="6" t="n">
        <v>6</v>
      </c>
      <c r="C17" s="9" t="str">
        <f aca="false">IFERROR(INDEX(exercicio!$B$2:$B$190,MATCH(A17,exercicio!$A$2:$A$190,0)),"")</f>
        <v>Elevação Lateral na Máquina</v>
      </c>
      <c r="D17" s="9" t="str">
        <f aca="false">IFERROR(INDEX(fonte!$B$2:$B$200,MATCH(B17,fonte!$A$2:$A$200,0))&amp;" - "&amp;INDEX(fonte!$C$2:$C$200,MATCH(B17,fonte!$A$2:$A$200,0)),"")</f>
        <v>GymKee - Lateral Raise Machine</v>
      </c>
    </row>
    <row r="18" customFormat="false" ht="15" hidden="false" customHeight="false" outlineLevel="0" collapsed="false">
      <c r="A18" s="6" t="n">
        <v>14</v>
      </c>
      <c r="B18" s="6" t="n">
        <v>9</v>
      </c>
      <c r="C18" s="9" t="str">
        <f aca="false">IFERROR(INDEX(exercicio!$B$2:$B$190,MATCH(A18,exercicio!$A$2:$A$190,0)),"")</f>
        <v>Crucifixo Invertido na Polia</v>
      </c>
      <c r="D18" s="9" t="str">
        <f aca="false">IFERROR(INDEX(fonte!$B$2:$B$200,MATCH(B18,fonte!$A$2:$A$200,0))&amp;" - "&amp;INDEX(fonte!$C$2:$C$200,MATCH(B18,fonte!$A$2:$A$200,0)),"")</f>
        <v>ACE Fitness - Reverse Fly</v>
      </c>
    </row>
    <row r="19" customFormat="false" ht="15" hidden="false" customHeight="false" outlineLevel="0" collapsed="false">
      <c r="A19" s="6" t="n">
        <v>15</v>
      </c>
      <c r="B19" s="6" t="n">
        <v>5</v>
      </c>
      <c r="C19" s="9" t="str">
        <f aca="false">IFERROR(INDEX(exercicio!$B$2:$B$190,MATCH(A19,exercicio!$A$2:$A$190,0)),"")</f>
        <v>Elevação Prona em T</v>
      </c>
      <c r="D19" s="9" t="str">
        <f aca="false">IFERROR(INDEX(fonte!$B$2:$B$200,MATCH(B19,fonte!$A$2:$A$200,0))&amp;" - "&amp;INDEX(fonte!$C$2:$C$200,MATCH(B19,fonte!$A$2:$A$200,0)),"")</f>
        <v>Physitrack - Step-by-step guide to T raises</v>
      </c>
    </row>
    <row r="20" customFormat="false" ht="15" hidden="false" customHeight="false" outlineLevel="0" collapsed="false">
      <c r="A20" s="6" t="n">
        <v>16</v>
      </c>
      <c r="B20" s="6" t="n">
        <v>10</v>
      </c>
      <c r="C20" s="9" t="str">
        <f aca="false">IFERROR(INDEX(exercicio!$B$2:$B$190,MATCH(A20,exercicio!$A$2:$A$190,0)),"")</f>
        <v>Anjo da Neve Invertido</v>
      </c>
      <c r="D20" s="9" t="str">
        <f aca="false">IFERROR(INDEX(fonte!$B$2:$B$200,MATCH(B20,fonte!$A$2:$A$200,0))&amp;" - "&amp;INDEX(fonte!$C$2:$C$200,MATCH(B20,fonte!$A$2:$A$200,0)),"")</f>
        <v>GoFitify - Reverse Snow Angels</v>
      </c>
    </row>
    <row r="21" customFormat="false" ht="15" hidden="false" customHeight="false" outlineLevel="0" collapsed="false">
      <c r="A21" s="6" t="n">
        <v>17</v>
      </c>
      <c r="B21" s="6" t="n">
        <v>11</v>
      </c>
      <c r="C21" s="9" t="str">
        <f aca="false">IFERROR(INDEX(exercicio!$B$2:$B$190,MATCH(A21,exercicio!$A$2:$A$190,0)),"")</f>
        <v>Puxada Alta</v>
      </c>
      <c r="D21" s="9" t="str">
        <f aca="false">IFERROR(INDEX(fonte!$B$2:$B$200,MATCH(B21,fonte!$A$2:$A$200,0))&amp;" - "&amp;INDEX(fonte!$C$2:$C$200,MATCH(B21,fonte!$A$2:$A$200,0)),"")</f>
        <v>StrengthLog - How to Do Machine Lat Pulldown</v>
      </c>
    </row>
    <row r="22" customFormat="false" ht="15" hidden="false" customHeight="false" outlineLevel="0" collapsed="false">
      <c r="A22" s="6" t="n">
        <v>17</v>
      </c>
      <c r="B22" s="6" t="n">
        <v>14</v>
      </c>
      <c r="C22" s="9" t="str">
        <f aca="false">IFERROR(INDEX(exercicio!$B$2:$B$190,MATCH(A22,exercicio!$A$2:$A$190,0)),"")</f>
        <v>Puxada Alta</v>
      </c>
      <c r="D22" s="9" t="str">
        <f aca="false">IFERROR(INDEX(fonte!$B$2:$B$200,MATCH(B22,fonte!$A$2:$A$200,0))&amp;" - "&amp;INDEX(fonte!$C$2:$C$200,MATCH(B22,fonte!$A$2:$A$200,0)),"")</f>
        <v>Wikipedia - Pull-down (exercise)</v>
      </c>
    </row>
    <row r="23" customFormat="false" ht="15" hidden="false" customHeight="false" outlineLevel="0" collapsed="false">
      <c r="A23" s="6" t="n">
        <v>18</v>
      </c>
      <c r="B23" s="6" t="n">
        <v>12</v>
      </c>
      <c r="C23" s="9" t="str">
        <f aca="false">IFERROR(INDEX(exercicio!$B$2:$B$190,MATCH(A23,exercicio!$A$2:$A$190,0)),"")</f>
        <v>Remada Baixa</v>
      </c>
      <c r="D23" s="9" t="str">
        <f aca="false">IFERROR(INDEX(fonte!$B$2:$B$200,MATCH(B23,fonte!$A$2:$A$200,0))&amp;" - "&amp;INDEX(fonte!$C$2:$C$200,MATCH(B23,fonte!$A$2:$A$200,0)),"")</f>
        <v>Healthline - How to Do the Seated Row</v>
      </c>
    </row>
    <row r="24" customFormat="false" ht="15" hidden="false" customHeight="false" outlineLevel="0" collapsed="false">
      <c r="A24" s="6" t="n">
        <v>19</v>
      </c>
      <c r="B24" s="6" t="n">
        <v>15</v>
      </c>
      <c r="C24" s="9" t="str">
        <f aca="false">IFERROR(INDEX(exercicio!$B$2:$B$190,MATCH(A24,exercicio!$A$2:$A$190,0)),"")</f>
        <v>Remada Unilateral Articulada</v>
      </c>
      <c r="D24" s="9" t="str">
        <f aca="false">IFERROR(INDEX(fonte!$B$2:$B$200,MATCH(B24,fonte!$A$2:$A$200,0))&amp;" - "&amp;INDEX(fonte!$C$2:$C$200,MATCH(B24,fonte!$A$2:$A$200,0)),"")</f>
        <v>FitnessVolt - Machine One-Arm Row</v>
      </c>
    </row>
    <row r="25" customFormat="false" ht="15" hidden="false" customHeight="false" outlineLevel="0" collapsed="false">
      <c r="A25" s="6" t="n">
        <v>20</v>
      </c>
      <c r="B25" s="6" t="n">
        <v>11</v>
      </c>
      <c r="C25" s="9" t="str">
        <f aca="false">IFERROR(INDEX(exercicio!$B$2:$B$190,MATCH(A25,exercicio!$A$2:$A$190,0)),"")</f>
        <v>Puxada Unilateral na Polia</v>
      </c>
      <c r="D25" s="9" t="str">
        <f aca="false">IFERROR(INDEX(fonte!$B$2:$B$200,MATCH(B25,fonte!$A$2:$A$200,0))&amp;" - "&amp;INDEX(fonte!$C$2:$C$200,MATCH(B25,fonte!$A$2:$A$200,0)),"")</f>
        <v>StrengthLog - How to Do Machine Lat Pulldown</v>
      </c>
    </row>
    <row r="26" customFormat="false" ht="15" hidden="false" customHeight="false" outlineLevel="0" collapsed="false">
      <c r="A26" s="6" t="n">
        <v>21</v>
      </c>
      <c r="B26" s="6" t="n">
        <v>13</v>
      </c>
      <c r="C26" s="9" t="str">
        <f aca="false">IFERROR(INDEX(exercicio!$B$2:$B$190,MATCH(A26,exercicio!$A$2:$A$190,0)),"")</f>
        <v>Remada Invertida</v>
      </c>
      <c r="D26" s="9" t="str">
        <f aca="false">IFERROR(INDEX(fonte!$B$2:$B$200,MATCH(B26,fonte!$A$2:$A$200,0))&amp;" - "&amp;INDEX(fonte!$C$2:$C$200,MATCH(B26,fonte!$A$2:$A$200,0)),"")</f>
        <v>Healthline - Australian Pull-Up (Inverted Row)</v>
      </c>
    </row>
    <row r="27" customFormat="false" ht="15" hidden="false" customHeight="false" outlineLevel="0" collapsed="false">
      <c r="A27" s="6" t="n">
        <v>22</v>
      </c>
      <c r="B27" s="6" t="n">
        <v>83</v>
      </c>
      <c r="C27" s="9" t="str">
        <f aca="false">IFERROR(INDEX(exercicio!$B$2:$B$190,MATCH(A27,exercicio!$A$2:$A$190,0)),"")</f>
        <v>Barra Fixa</v>
      </c>
      <c r="D27" s="9" t="str">
        <f aca="false">IFERROR(INDEX(fonte!$B$2:$B$200,MATCH(B27,fonte!$A$2:$A$200,0))&amp;" - "&amp;INDEX(fonte!$C$2:$C$200,MATCH(B27,fonte!$A$2:$A$200,0)),"")</f>
        <v>StrengthLog - Pull-Up</v>
      </c>
    </row>
    <row r="28" customFormat="false" ht="15" hidden="false" customHeight="false" outlineLevel="0" collapsed="false">
      <c r="A28" s="6" t="n">
        <v>23</v>
      </c>
      <c r="B28" s="6" t="n">
        <v>16</v>
      </c>
      <c r="C28" s="9" t="str">
        <f aca="false">IFERROR(INDEX(exercicio!$B$2:$B$190,MATCH(A28,exercicio!$A$2:$A$190,0)),"")</f>
        <v>Encolhimento com Halteres</v>
      </c>
      <c r="D28" s="9" t="str">
        <f aca="false">IFERROR(INDEX(fonte!$B$2:$B$200,MATCH(B28,fonte!$A$2:$A$200,0))&amp;" - "&amp;INDEX(fonte!$C$2:$C$200,MATCH(B28,fonte!$A$2:$A$200,0)),"")</f>
        <v>WebMD - How to Do Shoulder Shrugs</v>
      </c>
    </row>
    <row r="29" customFormat="false" ht="15" hidden="false" customHeight="false" outlineLevel="0" collapsed="false">
      <c r="A29" s="6" t="n">
        <v>24</v>
      </c>
      <c r="B29" s="6" t="n">
        <v>16</v>
      </c>
      <c r="C29" s="9" t="str">
        <f aca="false">IFERROR(INDEX(exercicio!$B$2:$B$190,MATCH(A29,exercicio!$A$2:$A$190,0)),"")</f>
        <v>Encolhimento com Barra</v>
      </c>
      <c r="D29" s="9" t="str">
        <f aca="false">IFERROR(INDEX(fonte!$B$2:$B$200,MATCH(B29,fonte!$A$2:$A$200,0))&amp;" - "&amp;INDEX(fonte!$C$2:$C$200,MATCH(B29,fonte!$A$2:$A$200,0)),"")</f>
        <v>WebMD - How to Do Shoulder Shrugs</v>
      </c>
    </row>
    <row r="30" customFormat="false" ht="15" hidden="false" customHeight="false" outlineLevel="0" collapsed="false">
      <c r="A30" s="6" t="n">
        <v>25</v>
      </c>
      <c r="B30" s="6" t="n">
        <v>17</v>
      </c>
      <c r="C30" s="9" t="str">
        <f aca="false">IFERROR(INDEX(exercicio!$B$2:$B$190,MATCH(A30,exercicio!$A$2:$A$190,0)),"")</f>
        <v>Elevação Prona em Y</v>
      </c>
      <c r="D30" s="9" t="str">
        <f aca="false">IFERROR(INDEX(fonte!$B$2:$B$200,MATCH(B30,fonte!$A$2:$A$200,0))&amp;" - "&amp;INDEX(fonte!$C$2:$C$200,MATCH(B30,fonte!$A$2:$A$200,0)),"")</f>
        <v>Sportskeeda - 5 No-Weight Trapezius Exercises</v>
      </c>
    </row>
    <row r="31" customFormat="false" ht="15" hidden="false" customHeight="false" outlineLevel="0" collapsed="false">
      <c r="A31" s="6" t="n">
        <v>26</v>
      </c>
      <c r="B31" s="6" t="n">
        <v>17</v>
      </c>
      <c r="C31" s="9" t="str">
        <f aca="false">IFERROR(INDEX(exercicio!$B$2:$B$190,MATCH(A31,exercicio!$A$2:$A$190,0)),"")</f>
        <v>Anjo e Diabo Prono</v>
      </c>
      <c r="D31" s="9" t="str">
        <f aca="false">IFERROR(INDEX(fonte!$B$2:$B$200,MATCH(B31,fonte!$A$2:$A$200,0))&amp;" - "&amp;INDEX(fonte!$C$2:$C$200,MATCH(B31,fonte!$A$2:$A$200,0)),"")</f>
        <v>Sportskeeda - 5 No-Weight Trapezius Exercises</v>
      </c>
    </row>
    <row r="32" customFormat="false" ht="15" hidden="false" customHeight="false" outlineLevel="0" collapsed="false">
      <c r="A32" s="6" t="n">
        <v>27</v>
      </c>
      <c r="B32" s="6" t="n">
        <v>18</v>
      </c>
      <c r="C32" s="9" t="str">
        <f aca="false">IFERROR(INDEX(exercicio!$B$2:$B$190,MATCH(A32,exercicio!$A$2:$A$190,0)),"")</f>
        <v>Hiperextensão Lombar</v>
      </c>
      <c r="D32" s="9" t="str">
        <f aca="false">IFERROR(INDEX(fonte!$B$2:$B$200,MATCH(B32,fonte!$A$2:$A$200,0))&amp;" - "&amp;INDEX(fonte!$C$2:$C$200,MATCH(B32,fonte!$A$2:$A$200,0)),"")</f>
        <v>Wikipedia - Hyperextension (exercise)</v>
      </c>
    </row>
    <row r="33" customFormat="false" ht="15" hidden="false" customHeight="false" outlineLevel="0" collapsed="false">
      <c r="A33" s="6" t="n">
        <v>28</v>
      </c>
      <c r="B33" s="6" t="n">
        <v>19</v>
      </c>
      <c r="C33" s="9" t="str">
        <f aca="false">IFERROR(INDEX(exercicio!$B$2:$B$190,MATCH(A33,exercicio!$A$2:$A$190,0)),"")</f>
        <v>Good Morning</v>
      </c>
      <c r="D33" s="9" t="str">
        <f aca="false">IFERROR(INDEX(fonte!$B$2:$B$200,MATCH(B33,fonte!$A$2:$A$200,0))&amp;" - "&amp;INDEX(fonte!$C$2:$C$200,MATCH(B33,fonte!$A$2:$A$200,0)),"")</f>
        <v>NASM - Good Mornings</v>
      </c>
    </row>
    <row r="34" customFormat="false" ht="15" hidden="false" customHeight="false" outlineLevel="0" collapsed="false">
      <c r="A34" s="6" t="n">
        <v>28</v>
      </c>
      <c r="B34" s="6" t="n">
        <v>20</v>
      </c>
      <c r="C34" s="9" t="str">
        <f aca="false">IFERROR(INDEX(exercicio!$B$2:$B$190,MATCH(A34,exercicio!$A$2:$A$190,0)),"")</f>
        <v>Good Morning</v>
      </c>
      <c r="D34" s="9" t="str">
        <f aca="false">IFERROR(INDEX(fonte!$B$2:$B$200,MATCH(B34,fonte!$A$2:$A$200,0))&amp;" - "&amp;INDEX(fonte!$C$2:$C$200,MATCH(B34,fonte!$A$2:$A$200,0)),"")</f>
        <v>Wikipedia - Good-morning (exercise)</v>
      </c>
    </row>
    <row r="35" customFormat="false" ht="15" hidden="false" customHeight="false" outlineLevel="0" collapsed="false">
      <c r="A35" s="6" t="n">
        <v>29</v>
      </c>
      <c r="B35" s="6" t="n">
        <v>21</v>
      </c>
      <c r="C35" s="9" t="str">
        <f aca="false">IFERROR(INDEX(exercicio!$B$2:$B$190,MATCH(A35,exercicio!$A$2:$A$190,0)),"")</f>
        <v>Superman</v>
      </c>
      <c r="D35" s="9" t="str">
        <f aca="false">IFERROR(INDEX(fonte!$B$2:$B$200,MATCH(B35,fonte!$A$2:$A$200,0))&amp;" - "&amp;INDEX(fonte!$C$2:$C$200,MATCH(B35,fonte!$A$2:$A$200,0)),"")</f>
        <v>Healthline - Superman Exercise</v>
      </c>
    </row>
    <row r="36" customFormat="false" ht="15" hidden="false" customHeight="false" outlineLevel="0" collapsed="false">
      <c r="A36" s="6" t="n">
        <v>30</v>
      </c>
      <c r="B36" s="6" t="n">
        <v>84</v>
      </c>
      <c r="C36" s="9" t="str">
        <f aca="false">IFERROR(INDEX(exercicio!$B$2:$B$190,MATCH(A36,exercicio!$A$2:$A$190,0)),"")</f>
        <v>Rosca Direta na Polia Baixa</v>
      </c>
      <c r="D36" s="9" t="str">
        <f aca="false">IFERROR(INDEX(fonte!$B$2:$B$200,MATCH(B36,fonte!$A$2:$A$200,0))&amp;" - "&amp;INDEX(fonte!$C$2:$C$200,MATCH(B36,fonte!$A$2:$A$200,0)),"")</f>
        <v>StrengthLog - Cable Curl With Bar</v>
      </c>
    </row>
    <row r="37" customFormat="false" ht="15" hidden="false" customHeight="false" outlineLevel="0" collapsed="false">
      <c r="A37" s="6" t="n">
        <v>31</v>
      </c>
      <c r="B37" s="6" t="n">
        <v>85</v>
      </c>
      <c r="C37" s="9" t="str">
        <f aca="false">IFERROR(INDEX(exercicio!$B$2:$B$190,MATCH(A37,exercicio!$A$2:$A$190,0)),"")</f>
        <v>Rosca Scott na Máquina</v>
      </c>
      <c r="D37" s="9" t="str">
        <f aca="false">IFERROR(INDEX(fonte!$B$2:$B$200,MATCH(B37,fonte!$A$2:$A$200,0))&amp;" - "&amp;INDEX(fonte!$C$2:$C$200,MATCH(B37,fonte!$A$2:$A$200,0)),"")</f>
        <v>StrengthLog - Machine Bicep Curl</v>
      </c>
    </row>
    <row r="38" customFormat="false" ht="15" hidden="false" customHeight="false" outlineLevel="0" collapsed="false">
      <c r="A38" s="6" t="n">
        <v>32</v>
      </c>
      <c r="B38" s="6" t="n">
        <v>86</v>
      </c>
      <c r="C38" s="9" t="str">
        <f aca="false">IFERROR(INDEX(exercicio!$B$2:$B$190,MATCH(A38,exercicio!$A$2:$A$190,0)),"")</f>
        <v>Rosca Inclinada com Halteres</v>
      </c>
      <c r="D38" s="9" t="str">
        <f aca="false">IFERROR(INDEX(fonte!$B$2:$B$200,MATCH(B38,fonte!$A$2:$A$200,0))&amp;" - "&amp;INDEX(fonte!$C$2:$C$200,MATCH(B38,fonte!$A$2:$A$200,0)),"")</f>
        <v>StrengthLog - Incline Dumbbell Curl</v>
      </c>
    </row>
    <row r="39" customFormat="false" ht="15" hidden="false" customHeight="false" outlineLevel="0" collapsed="false">
      <c r="A39" s="6" t="n">
        <v>33</v>
      </c>
      <c r="B39" s="6" t="n">
        <v>27</v>
      </c>
      <c r="C39" s="9" t="str">
        <f aca="false">IFERROR(INDEX(exercicio!$B$2:$B$190,MATCH(A39,exercicio!$A$2:$A$190,0)),"")</f>
        <v>Rosca Scott com Halteres</v>
      </c>
      <c r="D39" s="9" t="str">
        <f aca="false">IFERROR(INDEX(fonte!$B$2:$B$200,MATCH(B39,fonte!$A$2:$A$200,0))&amp;" - "&amp;INDEX(fonte!$C$2:$C$200,MATCH(B39,fonte!$A$2:$A$200,0)),"")</f>
        <v>Mirafit - 20 Bicep Curl Variations</v>
      </c>
    </row>
    <row r="40" customFormat="false" ht="15" hidden="false" customHeight="false" outlineLevel="0" collapsed="false">
      <c r="A40" s="6" t="n">
        <v>34</v>
      </c>
      <c r="B40" s="6" t="n">
        <v>25</v>
      </c>
      <c r="C40" s="9" t="str">
        <f aca="false">IFERROR(INDEX(exercicio!$B$2:$B$190,MATCH(A40,exercicio!$A$2:$A$190,0)),"")</f>
        <v>Rosca de Bíceps com Autorresistência</v>
      </c>
      <c r="D40" s="9" t="str">
        <f aca="false">IFERROR(INDEX(fonte!$B$2:$B$200,MATCH(B40,fonte!$A$2:$A$200,0))&amp;" - "&amp;INDEX(fonte!$C$2:$C$200,MATCH(B40,fonte!$A$2:$A$200,0)),"")</f>
        <v>The Bioneer - Bodyweight Bicep Exercises Without Equipment</v>
      </c>
    </row>
    <row r="41" customFormat="false" ht="15" hidden="false" customHeight="false" outlineLevel="0" collapsed="false">
      <c r="A41" s="6" t="n">
        <v>35</v>
      </c>
      <c r="B41" s="6" t="n">
        <v>87</v>
      </c>
      <c r="C41" s="9" t="str">
        <f aca="false">IFERROR(INDEX(exercicio!$B$2:$B$190,MATCH(A41,exercicio!$A$2:$A$190,0)),"")</f>
        <v>Tríceps Pulley</v>
      </c>
      <c r="D41" s="9" t="str">
        <f aca="false">IFERROR(INDEX(fonte!$B$2:$B$200,MATCH(B41,fonte!$A$2:$A$200,0))&amp;" - "&amp;INDEX(fonte!$C$2:$C$200,MATCH(B41,fonte!$A$2:$A$200,0)),"")</f>
        <v>StrengthLog - Tricep Pushdown With Bar</v>
      </c>
    </row>
    <row r="42" customFormat="false" ht="15" hidden="false" customHeight="false" outlineLevel="0" collapsed="false">
      <c r="A42" s="6" t="n">
        <v>36</v>
      </c>
      <c r="B42" s="6" t="n">
        <v>88</v>
      </c>
      <c r="C42" s="9" t="str">
        <f aca="false">IFERROR(INDEX(exercicio!$B$2:$B$190,MATCH(A42,exercicio!$A$2:$A$190,0)),"")</f>
        <v>Tríceps Testa na Polia</v>
      </c>
      <c r="D42" s="9" t="str">
        <f aca="false">IFERROR(INDEX(fonte!$B$2:$B$200,MATCH(B42,fonte!$A$2:$A$200,0))&amp;" - "&amp;INDEX(fonte!$C$2:$C$200,MATCH(B42,fonte!$A$2:$A$200,0)),"")</f>
        <v>ExRx.net - Cable Lying Triceps Extension</v>
      </c>
    </row>
    <row r="43" customFormat="false" ht="15" hidden="false" customHeight="false" outlineLevel="0" collapsed="false">
      <c r="A43" s="6" t="n">
        <v>37</v>
      </c>
      <c r="B43" s="6" t="n">
        <v>89</v>
      </c>
      <c r="C43" s="9" t="str">
        <f aca="false">IFERROR(INDEX(exercicio!$B$2:$B$190,MATCH(A43,exercicio!$A$2:$A$190,0)),"")</f>
        <v>Tríceps Francês na Polia</v>
      </c>
      <c r="D43" s="9" t="str">
        <f aca="false">IFERROR(INDEX(fonte!$B$2:$B$200,MATCH(B43,fonte!$A$2:$A$200,0))&amp;" - "&amp;INDEX(fonte!$C$2:$C$200,MATCH(B43,fonte!$A$2:$A$200,0)),"")</f>
        <v>StrengthLog - Overhead Cable Triceps Extension</v>
      </c>
    </row>
    <row r="44" customFormat="false" ht="15" hidden="false" customHeight="false" outlineLevel="0" collapsed="false">
      <c r="A44" s="6" t="n">
        <v>38</v>
      </c>
      <c r="B44" s="6" t="n">
        <v>28</v>
      </c>
      <c r="C44" s="9" t="str">
        <f aca="false">IFERROR(INDEX(exercicio!$B$2:$B$190,MATCH(A44,exercicio!$A$2:$A$190,0)),"")</f>
        <v>Rosca de Punho com Halteres</v>
      </c>
      <c r="D44" s="9" t="str">
        <f aca="false">IFERROR(INDEX(fonte!$B$2:$B$200,MATCH(B44,fonte!$A$2:$A$200,0))&amp;" - "&amp;INDEX(fonte!$C$2:$C$200,MATCH(B44,fonte!$A$2:$A$200,0)),"")</f>
        <v>ACE Fitness - Wrist Curl (Flexion)</v>
      </c>
    </row>
    <row r="45" customFormat="false" ht="15" hidden="false" customHeight="false" outlineLevel="0" collapsed="false">
      <c r="A45" s="6" t="n">
        <v>39</v>
      </c>
      <c r="B45" s="6" t="n">
        <v>28</v>
      </c>
      <c r="C45" s="9" t="str">
        <f aca="false">IFERROR(INDEX(exercicio!$B$2:$B$190,MATCH(A45,exercicio!$A$2:$A$190,0)),"")</f>
        <v>Rosca de Punho com Barra</v>
      </c>
      <c r="D45" s="9" t="str">
        <f aca="false">IFERROR(INDEX(fonte!$B$2:$B$200,MATCH(B45,fonte!$A$2:$A$200,0))&amp;" - "&amp;INDEX(fonte!$C$2:$C$200,MATCH(B45,fonte!$A$2:$A$200,0)),"")</f>
        <v>ACE Fitness - Wrist Curl (Flexion)</v>
      </c>
    </row>
    <row r="46" customFormat="false" ht="15" hidden="false" customHeight="false" outlineLevel="0" collapsed="false">
      <c r="A46" s="6" t="n">
        <v>40</v>
      </c>
      <c r="B46" s="6" t="n">
        <v>29</v>
      </c>
      <c r="C46" s="9" t="str">
        <f aca="false">IFERROR(INDEX(exercicio!$B$2:$B$190,MATCH(A46,exercicio!$A$2:$A$190,0)),"")</f>
        <v>Rosca de Punho Reversa com Halteres</v>
      </c>
      <c r="D46" s="9" t="str">
        <f aca="false">IFERROR(INDEX(fonte!$B$2:$B$200,MATCH(B46,fonte!$A$2:$A$200,0))&amp;" - "&amp;INDEX(fonte!$C$2:$C$200,MATCH(B46,fonte!$A$2:$A$200,0)),"")</f>
        <v>ACE Fitness - Wrist Curl Extension</v>
      </c>
    </row>
    <row r="47" customFormat="false" ht="15" hidden="false" customHeight="false" outlineLevel="0" collapsed="false">
      <c r="A47" s="6" t="n">
        <v>41</v>
      </c>
      <c r="B47" s="6" t="n">
        <v>30</v>
      </c>
      <c r="C47" s="9" t="str">
        <f aca="false">IFERROR(INDEX(exercicio!$B$2:$B$190,MATCH(A47,exercicio!$A$2:$A$190,0)),"")</f>
        <v>Suspensão na Barra</v>
      </c>
      <c r="D47" s="9" t="str">
        <f aca="false">IFERROR(INDEX(fonte!$B$2:$B$200,MATCH(B47,fonte!$A$2:$A$200,0))&amp;" - "&amp;INDEX(fonte!$C$2:$C$200,MATCH(B47,fonte!$A$2:$A$200,0)),"")</f>
        <v>FitnessVolt - The ONLY 3 Grip Strength Exercises You Need</v>
      </c>
    </row>
    <row r="48" customFormat="false" ht="15" hidden="false" customHeight="false" outlineLevel="0" collapsed="false">
      <c r="A48" s="6" t="n">
        <v>42</v>
      </c>
      <c r="B48" s="6" t="n">
        <v>30</v>
      </c>
      <c r="C48" s="9" t="str">
        <f aca="false">IFERROR(INDEX(exercicio!$B$2:$B$190,MATCH(A48,exercicio!$A$2:$A$190,0)),"")</f>
        <v>Caminhada do Fazendeiro</v>
      </c>
      <c r="D48" s="9" t="str">
        <f aca="false">IFERROR(INDEX(fonte!$B$2:$B$200,MATCH(B48,fonte!$A$2:$A$200,0))&amp;" - "&amp;INDEX(fonte!$C$2:$C$200,MATCH(B48,fonte!$A$2:$A$200,0)),"")</f>
        <v>FitnessVolt - The ONLY 3 Grip Strength Exercises You Need</v>
      </c>
    </row>
    <row r="49" customFormat="false" ht="15" hidden="false" customHeight="false" outlineLevel="0" collapsed="false">
      <c r="A49" s="6" t="n">
        <v>43</v>
      </c>
      <c r="B49" s="6" t="n">
        <v>90</v>
      </c>
      <c r="C49" s="9" t="str">
        <f aca="false">IFERROR(INDEX(exercicio!$B$2:$B$190,MATCH(A49,exercicio!$A$2:$A$190,0)),"")</f>
        <v>Cadeira Extensora</v>
      </c>
      <c r="D49" s="9" t="str">
        <f aca="false">IFERROR(INDEX(fonte!$B$2:$B$200,MATCH(B49,fonte!$A$2:$A$200,0))&amp;" - "&amp;INDEX(fonte!$C$2:$C$200,MATCH(B49,fonte!$A$2:$A$200,0)),"")</f>
        <v>StrengthLog - Leg Extension</v>
      </c>
    </row>
    <row r="50" customFormat="false" ht="15" hidden="false" customHeight="false" outlineLevel="0" collapsed="false">
      <c r="A50" s="6" t="n">
        <v>44</v>
      </c>
      <c r="B50" s="6" t="n">
        <v>91</v>
      </c>
      <c r="C50" s="9" t="str">
        <f aca="false">IFERROR(INDEX(exercicio!$B$2:$B$190,MATCH(A50,exercicio!$A$2:$A$190,0)),"")</f>
        <v>Leg Press</v>
      </c>
      <c r="D50" s="9" t="str">
        <f aca="false">IFERROR(INDEX(fonte!$B$2:$B$200,MATCH(B50,fonte!$A$2:$A$200,0))&amp;" - "&amp;INDEX(fonte!$C$2:$C$200,MATCH(B50,fonte!$A$2:$A$200,0)),"")</f>
        <v>StrengthLog - Leg Press</v>
      </c>
    </row>
    <row r="51" customFormat="false" ht="15" hidden="false" customHeight="false" outlineLevel="0" collapsed="false">
      <c r="A51" s="6" t="n">
        <v>45</v>
      </c>
      <c r="B51" s="6" t="n">
        <v>92</v>
      </c>
      <c r="C51" s="9" t="str">
        <f aca="false">IFERROR(INDEX(exercicio!$B$2:$B$190,MATCH(A51,exercicio!$A$2:$A$190,0)),"")</f>
        <v>Agachamento Livre com Barra</v>
      </c>
      <c r="D51" s="9" t="str">
        <f aca="false">IFERROR(INDEX(fonte!$B$2:$B$200,MATCH(B51,fonte!$A$2:$A$200,0))&amp;" - "&amp;INDEX(fonte!$C$2:$C$200,MATCH(B51,fonte!$A$2:$A$200,0)),"")</f>
        <v>StrengthLog - Squat</v>
      </c>
    </row>
    <row r="52" customFormat="false" ht="15" hidden="false" customHeight="false" outlineLevel="0" collapsed="false">
      <c r="A52" s="6" t="n">
        <v>46</v>
      </c>
      <c r="B52" s="6" t="n">
        <v>33</v>
      </c>
      <c r="C52" s="9" t="str">
        <f aca="false">IFERROR(INDEX(exercicio!$B$2:$B$190,MATCH(A52,exercicio!$A$2:$A$190,0)),"")</f>
        <v>Agachamento com Peso do Corpo</v>
      </c>
      <c r="D52" s="9" t="str">
        <f aca="false">IFERROR(INDEX(fonte!$B$2:$B$200,MATCH(B52,fonte!$A$2:$A$200,0))&amp;" - "&amp;INDEX(fonte!$C$2:$C$200,MATCH(B52,fonte!$A$2:$A$200,0)),"")</f>
        <v>GymKee - Squat - Bodyweight</v>
      </c>
    </row>
    <row r="53" customFormat="false" ht="15" hidden="false" customHeight="false" outlineLevel="0" collapsed="false">
      <c r="A53" s="6" t="n">
        <v>47</v>
      </c>
      <c r="B53" s="6" t="n">
        <v>34</v>
      </c>
      <c r="C53" s="9" t="str">
        <f aca="false">IFERROR(INDEX(exercicio!$B$2:$B$190,MATCH(A53,exercicio!$A$2:$A$190,0)),"")</f>
        <v>Afundo</v>
      </c>
      <c r="D53" s="9" t="str">
        <f aca="false">IFERROR(INDEX(fonte!$B$2:$B$200,MATCH(B53,fonte!$A$2:$A$200,0))&amp;" - "&amp;INDEX(fonte!$C$2:$C$200,MATCH(B53,fonte!$A$2:$A$200,0)),"")</f>
        <v>ACE Fitness - Forward Lunge</v>
      </c>
    </row>
    <row r="54" customFormat="false" ht="15" hidden="false" customHeight="false" outlineLevel="0" collapsed="false">
      <c r="A54" s="6" t="n">
        <v>48</v>
      </c>
      <c r="B54" s="6" t="n">
        <v>31</v>
      </c>
      <c r="C54" s="9" t="str">
        <f aca="false">IFERROR(INDEX(exercicio!$B$2:$B$190,MATCH(A54,exercicio!$A$2:$A$190,0)),"")</f>
        <v>Agachamento Búlgaro</v>
      </c>
      <c r="D54" s="9" t="str">
        <f aca="false">IFERROR(INDEX(fonte!$B$2:$B$200,MATCH(B54,fonte!$A$2:$A$200,0))&amp;" - "&amp;INDEX(fonte!$C$2:$C$200,MATCH(B54,fonte!$A$2:$A$200,0)),"")</f>
        <v>ACE Fitness - Bulgarian Split Squat</v>
      </c>
    </row>
    <row r="55" customFormat="false" ht="15" hidden="false" customHeight="false" outlineLevel="0" collapsed="false">
      <c r="A55" s="6" t="n">
        <v>48</v>
      </c>
      <c r="B55" s="6" t="n">
        <v>32</v>
      </c>
      <c r="C55" s="9" t="str">
        <f aca="false">IFERROR(INDEX(exercicio!$B$2:$B$190,MATCH(A55,exercicio!$A$2:$A$190,0)),"")</f>
        <v>Agachamento Búlgaro</v>
      </c>
      <c r="D55" s="9" t="str">
        <f aca="false">IFERROR(INDEX(fonte!$B$2:$B$200,MATCH(B55,fonte!$A$2:$A$200,0))&amp;" - "&amp;INDEX(fonte!$C$2:$C$200,MATCH(B55,fonte!$A$2:$A$200,0)),"")</f>
        <v>Droga Raia - Agachamento Búlgaro: músculos trabalhados e como fazer</v>
      </c>
    </row>
    <row r="56" customFormat="false" ht="15" hidden="false" customHeight="false" outlineLevel="0" collapsed="false">
      <c r="A56" s="6" t="n">
        <v>49</v>
      </c>
      <c r="B56" s="6" t="n">
        <v>93</v>
      </c>
      <c r="C56" s="9" t="str">
        <f aca="false">IFERROR(INDEX(exercicio!$B$2:$B$190,MATCH(A56,exercicio!$A$2:$A$190,0)),"")</f>
        <v>Cadeira Flexora</v>
      </c>
      <c r="D56" s="9" t="str">
        <f aca="false">IFERROR(INDEX(fonte!$B$2:$B$200,MATCH(B56,fonte!$A$2:$A$200,0))&amp;" - "&amp;INDEX(fonte!$C$2:$C$200,MATCH(B56,fonte!$A$2:$A$200,0)),"")</f>
        <v>StrengthLog - Seated Leg Curl</v>
      </c>
    </row>
    <row r="57" customFormat="false" ht="15" hidden="false" customHeight="false" outlineLevel="0" collapsed="false">
      <c r="A57" s="6" t="n">
        <v>50</v>
      </c>
      <c r="B57" s="6" t="n">
        <v>94</v>
      </c>
      <c r="C57" s="9" t="str">
        <f aca="false">IFERROR(INDEX(exercicio!$B$2:$B$190,MATCH(A57,exercicio!$A$2:$A$190,0)),"")</f>
        <v>Stiff</v>
      </c>
      <c r="D57" s="9" t="str">
        <f aca="false">IFERROR(INDEX(fonte!$B$2:$B$200,MATCH(B57,fonte!$A$2:$A$200,0))&amp;" - "&amp;INDEX(fonte!$C$2:$C$200,MATCH(B57,fonte!$A$2:$A$200,0)),"")</f>
        <v>StrengthLog - Stiff-Legged Deadlift</v>
      </c>
    </row>
    <row r="58" customFormat="false" ht="15" hidden="false" customHeight="false" outlineLevel="0" collapsed="false">
      <c r="A58" s="6" t="n">
        <v>50</v>
      </c>
      <c r="B58" s="6" t="n">
        <v>95</v>
      </c>
      <c r="C58" s="9" t="str">
        <f aca="false">IFERROR(INDEX(exercicio!$B$2:$B$190,MATCH(A58,exercicio!$A$2:$A$190,0)),"")</f>
        <v>Stiff</v>
      </c>
      <c r="D58" s="9" t="str">
        <f aca="false">IFERROR(INDEX(fonte!$B$2:$B$200,MATCH(B58,fonte!$A$2:$A$200,0))&amp;" - "&amp;INDEX(fonte!$C$2:$C$200,MATCH(B58,fonte!$A$2:$A$200,0)),"")</f>
        <v>StrengthLog - Romanian Deadlift</v>
      </c>
    </row>
    <row r="59" customFormat="false" ht="15" hidden="false" customHeight="false" outlineLevel="0" collapsed="false">
      <c r="A59" s="6" t="n">
        <v>51</v>
      </c>
      <c r="B59" s="6" t="n">
        <v>36</v>
      </c>
      <c r="C59" s="9" t="str">
        <f aca="false">IFERROR(INDEX(exercicio!$B$2:$B$190,MATCH(A59,exercicio!$A$2:$A$190,0)),"")</f>
        <v>Stiff Unilateral</v>
      </c>
      <c r="D59" s="9" t="str">
        <f aca="false">IFERROR(INDEX(fonte!$B$2:$B$200,MATCH(B59,fonte!$A$2:$A$200,0))&amp;" - "&amp;INDEX(fonte!$C$2:$C$200,MATCH(B59,fonte!$A$2:$A$200,0)),"")</f>
        <v>SportsInjuryClinic.net - Single Leg RDL</v>
      </c>
    </row>
    <row r="60" customFormat="false" ht="15" hidden="false" customHeight="false" outlineLevel="0" collapsed="false">
      <c r="A60" s="6" t="n">
        <v>52</v>
      </c>
      <c r="B60" s="6" t="n">
        <v>96</v>
      </c>
      <c r="C60" s="9" t="str">
        <f aca="false">IFERROR(INDEX(exercicio!$B$2:$B$190,MATCH(A60,exercicio!$A$2:$A$190,0)),"")</f>
        <v>Levantamento Terra</v>
      </c>
      <c r="D60" s="9" t="str">
        <f aca="false">IFERROR(INDEX(fonte!$B$2:$B$200,MATCH(B60,fonte!$A$2:$A$200,0))&amp;" - "&amp;INDEX(fonte!$C$2:$C$200,MATCH(B60,fonte!$A$2:$A$200,0)),"")</f>
        <v>StrengthLog - Deadlift</v>
      </c>
    </row>
    <row r="61" customFormat="false" ht="15" hidden="false" customHeight="false" outlineLevel="0" collapsed="false">
      <c r="A61" s="6" t="n">
        <v>53</v>
      </c>
      <c r="B61" s="6" t="n">
        <v>37</v>
      </c>
      <c r="C61" s="9" t="str">
        <f aca="false">IFERROR(INDEX(exercicio!$B$2:$B$190,MATCH(A61,exercicio!$A$2:$A$190,0)),"")</f>
        <v>Elevação Pélvica com Peso do Corpo</v>
      </c>
      <c r="D61" s="9" t="str">
        <f aca="false">IFERROR(INDEX(fonte!$B$2:$B$200,MATCH(B61,fonte!$A$2:$A$200,0))&amp;" - "&amp;INDEX(fonte!$C$2:$C$200,MATCH(B61,fonte!$A$2:$A$200,0)),"")</f>
        <v>CatalystAthletics - Glute Bridge</v>
      </c>
    </row>
    <row r="62" customFormat="false" ht="15" hidden="false" customHeight="false" outlineLevel="0" collapsed="false">
      <c r="A62" s="6" t="n">
        <v>54</v>
      </c>
      <c r="B62" s="6" t="n">
        <v>37</v>
      </c>
      <c r="C62" s="9" t="str">
        <f aca="false">IFERROR(INDEX(exercicio!$B$2:$B$190,MATCH(A62,exercicio!$A$2:$A$190,0)),"")</f>
        <v>Elevação Pélvica com Barra</v>
      </c>
      <c r="D62" s="9" t="str">
        <f aca="false">IFERROR(INDEX(fonte!$B$2:$B$200,MATCH(B62,fonte!$A$2:$A$200,0))&amp;" - "&amp;INDEX(fonte!$C$2:$C$200,MATCH(B62,fonte!$A$2:$A$200,0)),"")</f>
        <v>CatalystAthletics - Glute Bridge</v>
      </c>
    </row>
    <row r="63" customFormat="false" ht="15" hidden="false" customHeight="false" outlineLevel="0" collapsed="false">
      <c r="A63" s="6" t="n">
        <v>55</v>
      </c>
      <c r="B63" s="6" t="n">
        <v>39</v>
      </c>
      <c r="C63" s="9" t="str">
        <f aca="false">IFERROR(INDEX(exercicio!$B$2:$B$190,MATCH(A63,exercicio!$A$2:$A$190,0)),"")</f>
        <v>Elevação de Panturrilha em Pé com Peso do Corpo</v>
      </c>
      <c r="D63" s="9" t="str">
        <f aca="false">IFERROR(INDEX(fonte!$B$2:$B$200,MATCH(B63,fonte!$A$2:$A$200,0))&amp;" - "&amp;INDEX(fonte!$C$2:$C$200,MATCH(B63,fonte!$A$2:$A$200,0)),"")</f>
        <v>Muscle &amp; Strength - Bodyweight Standing Calf Raise</v>
      </c>
    </row>
    <row r="64" customFormat="false" ht="15" hidden="false" customHeight="false" outlineLevel="0" collapsed="false">
      <c r="A64" s="6" t="n">
        <v>55</v>
      </c>
      <c r="B64" s="6" t="n">
        <v>97</v>
      </c>
      <c r="C64" s="9" t="str">
        <f aca="false">IFERROR(INDEX(exercicio!$B$2:$B$190,MATCH(A64,exercicio!$A$2:$A$190,0)),"")</f>
        <v>Elevação de Panturrilha em Pé com Peso do Corpo</v>
      </c>
      <c r="D64" s="9" t="str">
        <f aca="false">IFERROR(INDEX(fonte!$B$2:$B$200,MATCH(B64,fonte!$A$2:$A$200,0))&amp;" - "&amp;INDEX(fonte!$C$2:$C$200,MATCH(B64,fonte!$A$2:$A$200,0)),"")</f>
        <v>ACE Fitness - Standing Calf Raises - Wall (#73)</v>
      </c>
    </row>
    <row r="65" customFormat="false" ht="15" hidden="false" customHeight="false" outlineLevel="0" collapsed="false">
      <c r="A65" s="6" t="n">
        <v>56</v>
      </c>
      <c r="B65" s="6" t="n">
        <v>39</v>
      </c>
      <c r="C65" s="9" t="str">
        <f aca="false">IFERROR(INDEX(exercicio!$B$2:$B$190,MATCH(A65,exercicio!$A$2:$A$190,0)),"")</f>
        <v>Elevação de Panturrilha Unilateral com Peso do Corpo</v>
      </c>
      <c r="D65" s="9" t="str">
        <f aca="false">IFERROR(INDEX(fonte!$B$2:$B$200,MATCH(B65,fonte!$A$2:$A$200,0))&amp;" - "&amp;INDEX(fonte!$C$2:$C$200,MATCH(B65,fonte!$A$2:$A$200,0)),"")</f>
        <v>Muscle &amp; Strength - Bodyweight Standing Calf Raise</v>
      </c>
    </row>
    <row r="66" customFormat="false" ht="15" hidden="false" customHeight="false" outlineLevel="0" collapsed="false">
      <c r="A66" s="6" t="n">
        <v>57</v>
      </c>
      <c r="B66" s="6" t="n">
        <v>100</v>
      </c>
      <c r="C66" s="9" t="str">
        <f aca="false">IFERROR(INDEX(exercicio!$B$2:$B$190,MATCH(A66,exercicio!$A$2:$A$190,0)),"")</f>
        <v>Elevação de Panturrilha em Pé na Máquina</v>
      </c>
      <c r="D66" s="9" t="str">
        <f aca="false">IFERROR(INDEX(fonte!$B$2:$B$200,MATCH(B66,fonte!$A$2:$A$200,0))&amp;" - "&amp;INDEX(fonte!$C$2:$C$200,MATCH(B66,fonte!$A$2:$A$200,0)),"")</f>
        <v>StrengthLog - Standing Calf Raise (machine)</v>
      </c>
    </row>
    <row r="67" customFormat="false" ht="15" hidden="false" customHeight="false" outlineLevel="0" collapsed="false">
      <c r="A67" s="6" t="n">
        <v>58</v>
      </c>
      <c r="B67" s="6" t="n">
        <v>40</v>
      </c>
      <c r="C67" s="9" t="str">
        <f aca="false">IFERROR(INDEX(exercicio!$B$2:$B$190,MATCH(A67,exercicio!$A$2:$A$190,0)),"")</f>
        <v>Elevação de Panturrilha com Barra</v>
      </c>
      <c r="D67" s="9" t="str">
        <f aca="false">IFERROR(INDEX(fonte!$B$2:$B$200,MATCH(B67,fonte!$A$2:$A$200,0))&amp;" - "&amp;INDEX(fonte!$C$2:$C$200,MATCH(B67,fonte!$A$2:$A$200,0)),"")</f>
        <v>StrengthLog - How to Do Barbell Standing Calf Raise</v>
      </c>
    </row>
    <row r="68" customFormat="false" ht="15" hidden="false" customHeight="false" outlineLevel="0" collapsed="false">
      <c r="A68" s="6" t="n">
        <v>58</v>
      </c>
      <c r="B68" s="6" t="n">
        <v>98</v>
      </c>
      <c r="C68" s="9" t="str">
        <f aca="false">IFERROR(INDEX(exercicio!$B$2:$B$190,MATCH(A68,exercicio!$A$2:$A$190,0)),"")</f>
        <v>Elevação de Panturrilha com Barra</v>
      </c>
      <c r="D68" s="9" t="str">
        <f aca="false">IFERROR(INDEX(fonte!$B$2:$B$200,MATCH(B68,fonte!$A$2:$A$200,0))&amp;" - "&amp;INDEX(fonte!$C$2:$C$200,MATCH(B68,fonte!$A$2:$A$200,0)),"")</f>
        <v>ACE Fitness - Calf Raises com barra (#51)</v>
      </c>
    </row>
    <row r="69" customFormat="false" ht="15" hidden="false" customHeight="false" outlineLevel="0" collapsed="false">
      <c r="A69" s="6" t="n">
        <v>59</v>
      </c>
      <c r="B69" s="6" t="n">
        <v>43</v>
      </c>
      <c r="C69" s="9" t="str">
        <f aca="false">IFERROR(INDEX(exercicio!$B$2:$B$190,MATCH(A69,exercicio!$A$2:$A$190,0)),"")</f>
        <v>Prancha</v>
      </c>
      <c r="D69" s="9" t="str">
        <f aca="false">IFERROR(INDEX(fonte!$B$2:$B$200,MATCH(B69,fonte!$A$2:$A$200,0))&amp;" - "&amp;INDEX(fonte!$C$2:$C$200,MATCH(B69,fonte!$A$2:$A$200,0)),"")</f>
        <v>ACE Fitness - Front Plank</v>
      </c>
    </row>
    <row r="70" customFormat="false" ht="15" hidden="false" customHeight="false" outlineLevel="0" collapsed="false">
      <c r="A70" s="6" t="n">
        <v>60</v>
      </c>
      <c r="B70" s="6" t="n">
        <v>42</v>
      </c>
      <c r="C70" s="9" t="str">
        <f aca="false">IFERROR(INDEX(exercicio!$B$2:$B$190,MATCH(A70,exercicio!$A$2:$A$190,0)),"")</f>
        <v>Abdominal Supra</v>
      </c>
      <c r="D70" s="9" t="str">
        <f aca="false">IFERROR(INDEX(fonte!$B$2:$B$200,MATCH(B70,fonte!$A$2:$A$200,0))&amp;" - "&amp;INDEX(fonte!$C$2:$C$200,MATCH(B70,fonte!$A$2:$A$200,0)),"")</f>
        <v>ACE Fitness - Crunch</v>
      </c>
    </row>
    <row r="71" customFormat="false" ht="15" hidden="false" customHeight="false" outlineLevel="0" collapsed="false">
      <c r="A71" s="6" t="n">
        <v>61</v>
      </c>
      <c r="B71" s="6" t="n">
        <v>47</v>
      </c>
      <c r="C71" s="9" t="str">
        <f aca="false">IFERROR(INDEX(exercicio!$B$2:$B$190,MATCH(A71,exercicio!$A$2:$A$190,0)),"")</f>
        <v>Elevação de Pernas</v>
      </c>
      <c r="D71" s="9" t="str">
        <f aca="false">IFERROR(INDEX(fonte!$B$2:$B$200,MATCH(B71,fonte!$A$2:$A$200,0))&amp;" - "&amp;INDEX(fonte!$C$2:$C$200,MATCH(B71,fonte!$A$2:$A$200,0)),"")</f>
        <v>Physitrack - How to Perform the Leg Raise Exercise</v>
      </c>
    </row>
    <row r="72" customFormat="false" ht="15" hidden="false" customHeight="false" outlineLevel="0" collapsed="false">
      <c r="A72" s="6" t="n">
        <v>62</v>
      </c>
      <c r="B72" s="6" t="n">
        <v>46</v>
      </c>
      <c r="C72" s="9" t="str">
        <f aca="false">IFERROR(INDEX(exercicio!$B$2:$B$190,MATCH(A72,exercicio!$A$2:$A$190,0)),"")</f>
        <v>Escalador</v>
      </c>
      <c r="D72" s="9" t="str">
        <f aca="false">IFERROR(INDEX(fonte!$B$2:$B$200,MATCH(B72,fonte!$A$2:$A$200,0))&amp;" - "&amp;INDEX(fonte!$C$2:$C$200,MATCH(B72,fonte!$A$2:$A$200,0)),"")</f>
        <v>ACE Fitness - Mountain Climbers</v>
      </c>
    </row>
    <row r="73" customFormat="false" ht="15" hidden="false" customHeight="false" outlineLevel="0" collapsed="false">
      <c r="A73" s="6" t="n">
        <v>63</v>
      </c>
      <c r="B73" s="6" t="n">
        <v>41</v>
      </c>
      <c r="C73" s="9" t="str">
        <f aca="false">IFERROR(INDEX(exercicio!$B$2:$B$190,MATCH(A73,exercicio!$A$2:$A$190,0)),"")</f>
        <v>Abdominal na Polia Alta</v>
      </c>
      <c r="D73" s="9" t="str">
        <f aca="false">IFERROR(INDEX(fonte!$B$2:$B$200,MATCH(B73,fonte!$A$2:$A$200,0))&amp;" - "&amp;INDEX(fonte!$C$2:$C$200,MATCH(B73,fonte!$A$2:$A$200,0)),"")</f>
        <v>ExRx.net - Cable Standing Overhead Crunch</v>
      </c>
    </row>
    <row r="74" customFormat="false" ht="15" hidden="false" customHeight="false" outlineLevel="0" collapsed="false">
      <c r="A74" s="6" t="n">
        <v>64</v>
      </c>
      <c r="B74" s="6" t="n">
        <v>44</v>
      </c>
      <c r="C74" s="9" t="str">
        <f aca="false">IFERROR(INDEX(exercicio!$B$2:$B$190,MATCH(A74,exercicio!$A$2:$A$190,0)),"")</f>
        <v>Abdominal na Máquina</v>
      </c>
      <c r="D74" s="9" t="str">
        <f aca="false">IFERROR(INDEX(fonte!$B$2:$B$200,MATCH(B74,fonte!$A$2:$A$200,0))&amp;" - "&amp;INDEX(fonte!$C$2:$C$200,MATCH(B74,fonte!$A$2:$A$200,0)),"")</f>
        <v>Fitbod - Ab Crunch Machine</v>
      </c>
    </row>
    <row r="75" customFormat="false" ht="15" hidden="false" customHeight="false" outlineLevel="0" collapsed="false">
      <c r="A75" s="6" t="n">
        <v>65</v>
      </c>
      <c r="B75" s="6" t="n">
        <v>45</v>
      </c>
      <c r="C75" s="9" t="str">
        <f aca="false">IFERROR(INDEX(exercicio!$B$2:$B$190,MATCH(A75,exercicio!$A$2:$A$190,0)),"")</f>
        <v>Rolamento com Roda Abdominal</v>
      </c>
      <c r="D75" s="9" t="str">
        <f aca="false">IFERROR(INDEX(fonte!$B$2:$B$200,MATCH(B75,fonte!$A$2:$A$200,0))&amp;" - "&amp;INDEX(fonte!$C$2:$C$200,MATCH(B75,fonte!$A$2:$A$200,0)),"")</f>
        <v>University of Sussex Sport Dept. - Ab Wheel Roll Out (guia técnico)</v>
      </c>
    </row>
    <row r="76" customFormat="false" ht="15" hidden="false" customHeight="false" outlineLevel="0" collapsed="false">
      <c r="A76" s="6" t="n">
        <v>66</v>
      </c>
      <c r="B76" s="6" t="n">
        <v>48</v>
      </c>
      <c r="C76" s="9" t="str">
        <f aca="false">IFERROR(INDEX(exercicio!$B$2:$B$190,MATCH(A76,exercicio!$A$2:$A$190,0)),"")</f>
        <v>Elevação de Pernas na Cadeira Capitão</v>
      </c>
      <c r="D76" s="9" t="str">
        <f aca="false">IFERROR(INDEX(fonte!$B$2:$B$200,MATCH(B76,fonte!$A$2:$A$200,0))&amp;" - "&amp;INDEX(fonte!$C$2:$C$200,MATCH(B76,fonte!$A$2:$A$200,0)),"")</f>
        <v>StrengthLog - Captain's Chair Leg Raise</v>
      </c>
    </row>
    <row r="77" customFormat="false" ht="15" hidden="false" customHeight="false" outlineLevel="0" collapsed="false">
      <c r="A77" s="6" t="n">
        <v>67</v>
      </c>
      <c r="B77" s="6" t="n">
        <v>73</v>
      </c>
      <c r="C77" s="9" t="str">
        <f aca="false">IFERROR(INDEX(exercicio!$B$2:$B$190,MATCH(A77,exercicio!$A$2:$A$190,0)),"")</f>
        <v>Supino Reto com Halteres</v>
      </c>
      <c r="D77" s="9" t="str">
        <f aca="false">IFERROR(INDEX(fonte!$B$2:$B$200,MATCH(B77,fonte!$A$2:$A$200,0))&amp;" - "&amp;INDEX(fonte!$C$2:$C$200,MATCH(B77,fonte!$A$2:$A$200,0)),"")</f>
        <v>StrengthLog - Dumbbell Chest Press</v>
      </c>
    </row>
    <row r="78" customFormat="false" ht="15" hidden="false" customHeight="false" outlineLevel="0" collapsed="false">
      <c r="A78" s="6" t="n">
        <v>68</v>
      </c>
      <c r="B78" s="6" t="n">
        <v>57</v>
      </c>
      <c r="C78" s="9" t="str">
        <f aca="false">IFERROR(INDEX(exercicio!$B$2:$B$190,MATCH(A78,exercicio!$A$2:$A$190,0)),"")</f>
        <v>Supino Inclinado com Barra</v>
      </c>
      <c r="D78" s="9" t="str">
        <f aca="false">IFERROR(INDEX(fonte!$B$2:$B$200,MATCH(B78,fonte!$A$2:$A$200,0))&amp;" - "&amp;INDEX(fonte!$C$2:$C$200,MATCH(B78,fonte!$A$2:$A$200,0)),"")</f>
        <v>StrengthLog - Incline Bench Press</v>
      </c>
    </row>
    <row r="79" customFormat="false" ht="15" hidden="false" customHeight="false" outlineLevel="0" collapsed="false">
      <c r="A79" s="6" t="n">
        <v>69</v>
      </c>
      <c r="B79" s="6" t="n">
        <v>64</v>
      </c>
      <c r="C79" s="9" t="str">
        <f aca="false">IFERROR(INDEX(exercicio!$B$2:$B$190,MATCH(A79,exercicio!$A$2:$A$190,0)),"")</f>
        <v>Supino na Máquina</v>
      </c>
      <c r="D79" s="9" t="str">
        <f aca="false">IFERROR(INDEX(fonte!$B$2:$B$200,MATCH(B79,fonte!$A$2:$A$200,0))&amp;" - "&amp;INDEX(fonte!$C$2:$C$200,MATCH(B79,fonte!$A$2:$A$200,0)),"")</f>
        <v>StrengthLog - Machine Chest Press</v>
      </c>
    </row>
    <row r="80" customFormat="false" ht="15" hidden="false" customHeight="false" outlineLevel="0" collapsed="false">
      <c r="A80" s="6" t="n">
        <v>70</v>
      </c>
      <c r="B80" s="6" t="n">
        <v>62</v>
      </c>
      <c r="C80" s="9" t="str">
        <f aca="false">IFERROR(INDEX(exercicio!$B$2:$B$190,MATCH(A80,exercicio!$A$2:$A$190,0)),"")</f>
        <v>Supino Inclinado na Máquina</v>
      </c>
      <c r="D80" s="9" t="str">
        <f aca="false">IFERROR(INDEX(fonte!$B$2:$B$200,MATCH(B80,fonte!$A$2:$A$200,0))&amp;" - "&amp;INDEX(fonte!$C$2:$C$200,MATCH(B80,fonte!$A$2:$A$200,0)),"")</f>
        <v>ExRx.net - Lever Incline Chest Press</v>
      </c>
    </row>
    <row r="81" customFormat="false" ht="15" hidden="false" customHeight="false" outlineLevel="0" collapsed="false">
      <c r="A81" s="6" t="n">
        <v>71</v>
      </c>
      <c r="B81" s="6" t="n">
        <v>63</v>
      </c>
      <c r="C81" s="9" t="str">
        <f aca="false">IFERROR(INDEX(exercicio!$B$2:$B$190,MATCH(A81,exercicio!$A$2:$A$190,0)),"")</f>
        <v>Crucifixo Reto com Halteres</v>
      </c>
      <c r="D81" s="9" t="str">
        <f aca="false">IFERROR(INDEX(fonte!$B$2:$B$200,MATCH(B81,fonte!$A$2:$A$200,0))&amp;" - "&amp;INDEX(fonte!$C$2:$C$200,MATCH(B81,fonte!$A$2:$A$200,0)),"")</f>
        <v>StrengthLog - Dumbbell Chest Fly</v>
      </c>
    </row>
    <row r="82" customFormat="false" ht="15" hidden="false" customHeight="false" outlineLevel="0" collapsed="false">
      <c r="A82" s="6" t="n">
        <v>72</v>
      </c>
      <c r="B82" s="6" t="n">
        <v>58</v>
      </c>
      <c r="C82" s="9" t="str">
        <f aca="false">IFERROR(INDEX(exercicio!$B$2:$B$190,MATCH(A82,exercicio!$A$2:$A$190,0)),"")</f>
        <v>Crossover na Polia</v>
      </c>
      <c r="D82" s="9" t="str">
        <f aca="false">IFERROR(INDEX(fonte!$B$2:$B$200,MATCH(B82,fonte!$A$2:$A$200,0))&amp;" - "&amp;INDEX(fonte!$C$2:$C$200,MATCH(B82,fonte!$A$2:$A$200,0)),"")</f>
        <v>StrengthLog - Standing Cable Chest Fly</v>
      </c>
    </row>
    <row r="83" customFormat="false" ht="15" hidden="false" customHeight="false" outlineLevel="0" collapsed="false">
      <c r="A83" s="6" t="n">
        <v>73</v>
      </c>
      <c r="B83" s="6" t="n">
        <v>50</v>
      </c>
      <c r="C83" s="9" t="str">
        <f aca="false">IFERROR(INDEX(exercicio!$B$2:$B$190,MATCH(A83,exercicio!$A$2:$A$190,0)),"")</f>
        <v>Elevação Lateral com Halteres</v>
      </c>
      <c r="D83" s="9" t="str">
        <f aca="false">IFERROR(INDEX(fonte!$B$2:$B$200,MATCH(B83,fonte!$A$2:$A$200,0))&amp;" - "&amp;INDEX(fonte!$C$2:$C$200,MATCH(B83,fonte!$A$2:$A$200,0)),"")</f>
        <v>ACE Fitness - Lateral Raise (#26)</v>
      </c>
    </row>
    <row r="84" customFormat="false" ht="15" hidden="false" customHeight="false" outlineLevel="0" collapsed="false">
      <c r="A84" s="6" t="n">
        <v>73</v>
      </c>
      <c r="B84" s="6" t="n">
        <v>51</v>
      </c>
      <c r="C84" s="9" t="str">
        <f aca="false">IFERROR(INDEX(exercicio!$B$2:$B$190,MATCH(A84,exercicio!$A$2:$A$190,0)),"")</f>
        <v>Elevação Lateral com Halteres</v>
      </c>
      <c r="D84" s="9" t="str">
        <f aca="false">IFERROR(INDEX(fonte!$B$2:$B$200,MATCH(B84,fonte!$A$2:$A$200,0))&amp;" - "&amp;INDEX(fonte!$C$2:$C$200,MATCH(B84,fonte!$A$2:$A$200,0)),"")</f>
        <v>StrengthLog - Dumbbell Lateral Raise</v>
      </c>
    </row>
    <row r="85" customFormat="false" ht="15" hidden="false" customHeight="false" outlineLevel="0" collapsed="false">
      <c r="A85" s="6" t="n">
        <v>74</v>
      </c>
      <c r="B85" s="6" t="n">
        <v>65</v>
      </c>
      <c r="C85" s="9" t="str">
        <f aca="false">IFERROR(INDEX(exercicio!$B$2:$B$190,MATCH(A85,exercicio!$A$2:$A$190,0)),"")</f>
        <v>Desenvolvimento na Máquina</v>
      </c>
      <c r="D85" s="9" t="str">
        <f aca="false">IFERROR(INDEX(fonte!$B$2:$B$200,MATCH(B85,fonte!$A$2:$A$200,0))&amp;" - "&amp;INDEX(fonte!$C$2:$C$200,MATCH(B85,fonte!$A$2:$A$200,0)),"")</f>
        <v>StrengthLog - Machine Shoulder Press</v>
      </c>
    </row>
    <row r="86" customFormat="false" ht="15" hidden="false" customHeight="false" outlineLevel="0" collapsed="false">
      <c r="A86" s="6" t="n">
        <v>75</v>
      </c>
      <c r="B86" s="6" t="n">
        <v>67</v>
      </c>
      <c r="C86" s="9" t="str">
        <f aca="false">IFERROR(INDEX(exercicio!$B$2:$B$190,MATCH(A86,exercicio!$A$2:$A$190,0)),"")</f>
        <v>Elevação Frontal na Polia</v>
      </c>
      <c r="D86" s="9" t="str">
        <f aca="false">IFERROR(INDEX(fonte!$B$2:$B$200,MATCH(B86,fonte!$A$2:$A$200,0))&amp;" - "&amp;INDEX(fonte!$C$2:$C$200,MATCH(B86,fonte!$A$2:$A$200,0)),"")</f>
        <v>StrengthLog - Cable Front Raise</v>
      </c>
    </row>
    <row r="87" customFormat="false" ht="15" hidden="false" customHeight="false" outlineLevel="0" collapsed="false">
      <c r="A87" s="6" t="n">
        <v>76</v>
      </c>
      <c r="B87" s="6" t="n">
        <v>72</v>
      </c>
      <c r="C87" s="9" t="str">
        <f aca="false">IFERROR(INDEX(exercicio!$B$2:$B$190,MATCH(A87,exercicio!$A$2:$A$190,0)),"")</f>
        <v>Puxada Alta com Triângulo</v>
      </c>
      <c r="D87" s="9" t="str">
        <f aca="false">IFERROR(INDEX(fonte!$B$2:$B$200,MATCH(B87,fonte!$A$2:$A$200,0))&amp;" - "&amp;INDEX(fonte!$C$2:$C$200,MATCH(B87,fonte!$A$2:$A$200,0)),"")</f>
        <v>StrengthLog - Close-Grip Lat Pulldown</v>
      </c>
    </row>
    <row r="88" customFormat="false" ht="15" hidden="false" customHeight="false" outlineLevel="0" collapsed="false">
      <c r="A88" s="6" t="n">
        <v>77</v>
      </c>
      <c r="B88" s="6" t="n">
        <v>53</v>
      </c>
      <c r="C88" s="9" t="str">
        <f aca="false">IFERROR(INDEX(exercicio!$B$2:$B$190,MATCH(A88,exercicio!$A$2:$A$190,0)),"")</f>
        <v>Remada Cavalinho</v>
      </c>
      <c r="D88" s="9" t="str">
        <f aca="false">IFERROR(INDEX(fonte!$B$2:$B$200,MATCH(B88,fonte!$A$2:$A$200,0))&amp;" - "&amp;INDEX(fonte!$C$2:$C$200,MATCH(B88,fonte!$A$2:$A$200,0)),"")</f>
        <v>StrengthLog - T-Bar Row</v>
      </c>
    </row>
    <row r="89" customFormat="false" ht="15" hidden="false" customHeight="false" outlineLevel="0" collapsed="false">
      <c r="A89" s="6" t="n">
        <v>78</v>
      </c>
      <c r="B89" s="6" t="n">
        <v>52</v>
      </c>
      <c r="C89" s="9" t="str">
        <f aca="false">IFERROR(INDEX(exercicio!$B$2:$B$190,MATCH(A89,exercicio!$A$2:$A$190,0)),"")</f>
        <v>Rosca Martelo</v>
      </c>
      <c r="D89" s="9" t="str">
        <f aca="false">IFERROR(INDEX(fonte!$B$2:$B$200,MATCH(B89,fonte!$A$2:$A$200,0))&amp;" - "&amp;INDEX(fonte!$C$2:$C$200,MATCH(B89,fonte!$A$2:$A$200,0)),"")</f>
        <v>StrengthLog - Hammer Curl</v>
      </c>
    </row>
    <row r="90" customFormat="false" ht="15" hidden="false" customHeight="false" outlineLevel="0" collapsed="false">
      <c r="A90" s="6" t="n">
        <v>79</v>
      </c>
      <c r="B90" s="6" t="n">
        <v>60</v>
      </c>
      <c r="C90" s="9" t="str">
        <f aca="false">IFERROR(INDEX(exercicio!$B$2:$B$190,MATCH(A90,exercicio!$A$2:$A$190,0)),"")</f>
        <v>Rosca por Trás do Corpo na Polia</v>
      </c>
      <c r="D90" s="9" t="str">
        <f aca="false">IFERROR(INDEX(fonte!$B$2:$B$200,MATCH(B90,fonte!$A$2:$A$200,0))&amp;" - "&amp;INDEX(fonte!$C$2:$C$200,MATCH(B90,fonte!$A$2:$A$200,0)),"")</f>
        <v>StrengthLog - Bayesian Curl</v>
      </c>
    </row>
    <row r="91" customFormat="false" ht="15" hidden="false" customHeight="false" outlineLevel="0" collapsed="false">
      <c r="A91" s="6" t="n">
        <v>79</v>
      </c>
      <c r="B91" s="6" t="n">
        <v>61</v>
      </c>
      <c r="C91" s="9" t="str">
        <f aca="false">IFERROR(INDEX(exercicio!$B$2:$B$190,MATCH(A91,exercicio!$A$2:$A$190,0)),"")</f>
        <v>Rosca por Trás do Corpo na Polia</v>
      </c>
      <c r="D91" s="9" t="str">
        <f aca="false">IFERROR(INDEX(fonte!$B$2:$B$200,MATCH(B91,fonte!$A$2:$A$200,0))&amp;" - "&amp;INDEX(fonte!$C$2:$C$200,MATCH(B91,fonte!$A$2:$A$200,0)),"")</f>
        <v>European Journal of Sport Science (2025) - Bayesian vs. preacher cable curl: 10-week training study (doi:10.1002/ejsc.12279)</v>
      </c>
    </row>
    <row r="92" customFormat="false" ht="15" hidden="false" customHeight="false" outlineLevel="0" collapsed="false">
      <c r="A92" s="6" t="n">
        <v>80</v>
      </c>
      <c r="B92" s="6" t="n">
        <v>59</v>
      </c>
      <c r="C92" s="9" t="str">
        <f aca="false">IFERROR(INDEX(exercicio!$B$2:$B$190,MATCH(A92,exercicio!$A$2:$A$190,0)),"")</f>
        <v>Tríceps Testa com Barra W</v>
      </c>
      <c r="D92" s="9" t="str">
        <f aca="false">IFERROR(INDEX(fonte!$B$2:$B$200,MATCH(B92,fonte!$A$2:$A$200,0))&amp;" - "&amp;INDEX(fonte!$C$2:$C$200,MATCH(B92,fonte!$A$2:$A$200,0)),"")</f>
        <v>StrengthLog - Lying Triceps Extension (EZ Bar)</v>
      </c>
    </row>
    <row r="93" customFormat="false" ht="15" hidden="false" customHeight="false" outlineLevel="0" collapsed="false">
      <c r="A93" s="6" t="n">
        <v>81</v>
      </c>
      <c r="B93" s="6" t="n">
        <v>54</v>
      </c>
      <c r="C93" s="9" t="str">
        <f aca="false">IFERROR(INDEX(exercicio!$B$2:$B$190,MATCH(A93,exercicio!$A$2:$A$190,0)),"")</f>
        <v>Agachamento no Smith</v>
      </c>
      <c r="D93" s="9" t="str">
        <f aca="false">IFERROR(INDEX(fonte!$B$2:$B$200,MATCH(B93,fonte!$A$2:$A$200,0))&amp;" - "&amp;INDEX(fonte!$C$2:$C$200,MATCH(B93,fonte!$A$2:$A$200,0)),"")</f>
        <v>StrengthLog - Smith Machine Squat</v>
      </c>
    </row>
    <row r="94" customFormat="false" ht="15" hidden="false" customHeight="false" outlineLevel="0" collapsed="false">
      <c r="A94" s="6" t="n">
        <v>82</v>
      </c>
      <c r="B94" s="6" t="n">
        <v>66</v>
      </c>
      <c r="C94" s="9" t="str">
        <f aca="false">IFERROR(INDEX(exercicio!$B$2:$B$190,MATCH(A94,exercicio!$A$2:$A$190,0)),"")</f>
        <v>Agachamento Hack</v>
      </c>
      <c r="D94" s="9" t="str">
        <f aca="false">IFERROR(INDEX(fonte!$B$2:$B$200,MATCH(B94,fonte!$A$2:$A$200,0))&amp;" - "&amp;INDEX(fonte!$C$2:$C$200,MATCH(B94,fonte!$A$2:$A$200,0)),"")</f>
        <v>StrengthLog - Hack Squat Machine</v>
      </c>
    </row>
    <row r="95" customFormat="false" ht="15" hidden="false" customHeight="false" outlineLevel="0" collapsed="false">
      <c r="A95" s="6" t="n">
        <v>83</v>
      </c>
      <c r="B95" s="6" t="n">
        <v>55</v>
      </c>
      <c r="C95" s="9" t="str">
        <f aca="false">IFERROR(INDEX(exercicio!$B$2:$B$190,MATCH(A95,exercicio!$A$2:$A$190,0)),"")</f>
        <v>Mesa Flexora</v>
      </c>
      <c r="D95" s="9" t="str">
        <f aca="false">IFERROR(INDEX(fonte!$B$2:$B$200,MATCH(B95,fonte!$A$2:$A$200,0))&amp;" - "&amp;INDEX(fonte!$C$2:$C$200,MATCH(B95,fonte!$A$2:$A$200,0)),"")</f>
        <v>StrengthLog - Lying Leg Curl</v>
      </c>
    </row>
    <row r="96" customFormat="false" ht="15" hidden="false" customHeight="false" outlineLevel="0" collapsed="false">
      <c r="A96" s="6" t="n">
        <v>84</v>
      </c>
      <c r="B96" s="6" t="n">
        <v>56</v>
      </c>
      <c r="C96" s="9" t="str">
        <f aca="false">IFERROR(INDEX(exercicio!$B$2:$B$190,MATCH(A96,exercicio!$A$2:$A$190,0)),"")</f>
        <v>Elevação de Panturrilha Sentado</v>
      </c>
      <c r="D96" s="9" t="str">
        <f aca="false">IFERROR(INDEX(fonte!$B$2:$B$200,MATCH(B96,fonte!$A$2:$A$200,0))&amp;" - "&amp;INDEX(fonte!$C$2:$C$200,MATCH(B96,fonte!$A$2:$A$200,0)),"")</f>
        <v>StrengthLog - Seated Calf Raise</v>
      </c>
    </row>
    <row r="97" customFormat="false" ht="15" hidden="false" customHeight="false" outlineLevel="0" collapsed="false">
      <c r="A97" s="6" t="n">
        <v>85</v>
      </c>
      <c r="B97" s="6" t="n">
        <v>68</v>
      </c>
      <c r="C97" s="9" t="str">
        <f aca="false">IFERROR(INDEX(exercicio!$B$2:$B$190,MATCH(A97,exercicio!$A$2:$A$190,0)),"")</f>
        <v>Cadeira Adutora</v>
      </c>
      <c r="D97" s="9" t="str">
        <f aca="false">IFERROR(INDEX(fonte!$B$2:$B$200,MATCH(B97,fonte!$A$2:$A$200,0))&amp;" - "&amp;INDEX(fonte!$C$2:$C$200,MATCH(B97,fonte!$A$2:$A$200,0)),"")</f>
        <v>ExRx.net - Lever Seated Hip Adduction</v>
      </c>
    </row>
    <row r="98" customFormat="false" ht="15" hidden="false" customHeight="false" outlineLevel="0" collapsed="false">
      <c r="A98" s="6" t="n">
        <v>85</v>
      </c>
      <c r="B98" s="6" t="n">
        <v>69</v>
      </c>
      <c r="C98" s="9" t="str">
        <f aca="false">IFERROR(INDEX(exercicio!$B$2:$B$190,MATCH(A98,exercicio!$A$2:$A$190,0)),"")</f>
        <v>Cadeira Adutora</v>
      </c>
      <c r="D98" s="9" t="str">
        <f aca="false">IFERROR(INDEX(fonte!$B$2:$B$200,MATCH(B98,fonte!$A$2:$A$200,0))&amp;" - "&amp;INDEX(fonte!$C$2:$C$200,MATCH(B98,fonte!$A$2:$A$200,0)),"")</f>
        <v>StrengthLog - Hip Adduction Machine</v>
      </c>
    </row>
    <row r="99" customFormat="false" ht="15" hidden="false" customHeight="false" outlineLevel="0" collapsed="false">
      <c r="A99" s="6" t="n">
        <v>86</v>
      </c>
      <c r="B99" s="6" t="n">
        <v>70</v>
      </c>
      <c r="C99" s="9" t="str">
        <f aca="false">IFERROR(INDEX(exercicio!$B$2:$B$190,MATCH(A99,exercicio!$A$2:$A$190,0)),"")</f>
        <v>Cadeira Abdutora</v>
      </c>
      <c r="D99" s="9" t="str">
        <f aca="false">IFERROR(INDEX(fonte!$B$2:$B$200,MATCH(B99,fonte!$A$2:$A$200,0))&amp;" - "&amp;INDEX(fonte!$C$2:$C$200,MATCH(B99,fonte!$A$2:$A$200,0)),"")</f>
        <v>ExRx.net - Lever Seated Hip Abduction</v>
      </c>
    </row>
    <row r="100" customFormat="false" ht="15" hidden="false" customHeight="false" outlineLevel="0" collapsed="false">
      <c r="A100" s="6" t="n">
        <v>86</v>
      </c>
      <c r="B100" s="6" t="n">
        <v>71</v>
      </c>
      <c r="C100" s="9" t="str">
        <f aca="false">IFERROR(INDEX(exercicio!$B$2:$B$190,MATCH(A100,exercicio!$A$2:$A$190,0)),"")</f>
        <v>Cadeira Abdutora</v>
      </c>
      <c r="D100" s="9" t="str">
        <f aca="false">IFERROR(INDEX(fonte!$B$2:$B$200,MATCH(B100,fonte!$A$2:$A$200,0))&amp;" - "&amp;INDEX(fonte!$C$2:$C$200,MATCH(B100,fonte!$A$2:$A$200,0)),"")</f>
        <v>StrengthLog - Hip Abduction Machine</v>
      </c>
    </row>
    <row r="101" customFormat="false" ht="15" hidden="false" customHeight="false" outlineLevel="0" collapsed="false">
      <c r="A101" s="6" t="n">
        <v>87</v>
      </c>
      <c r="B101" s="6" t="n">
        <v>74</v>
      </c>
      <c r="C101" s="9" t="str">
        <f aca="false">IFERROR(INDEX(exercicio!$B$2:$B$190,MATCH(A101,exercicio!$A$2:$A$190,0)),"")</f>
        <v>Abdução de Quadril Deitado de Lado</v>
      </c>
      <c r="D101" s="9" t="str">
        <f aca="false">IFERROR(INDEX(fonte!$B$2:$B$200,MATCH(B101,fonte!$A$2:$A$200,0))&amp;" - "&amp;INDEX(fonte!$C$2:$C$200,MATCH(B101,fonte!$A$2:$A$200,0)),"")</f>
        <v>Distefano et al. (2009) - JOSPT 39(7) - Gluteal muscle activation during common therapeutic exercises (doi:10.2519/jospt.2009.2796)</v>
      </c>
    </row>
    <row r="102" customFormat="false" ht="15" hidden="false" customHeight="false" outlineLevel="0" collapsed="false">
      <c r="A102" s="6" t="n">
        <v>87</v>
      </c>
      <c r="B102" s="6" t="n">
        <v>75</v>
      </c>
      <c r="C102" s="9" t="str">
        <f aca="false">IFERROR(INDEX(exercicio!$B$2:$B$190,MATCH(A102,exercicio!$A$2:$A$190,0)),"")</f>
        <v>Abdução de Quadril Deitado de Lado</v>
      </c>
      <c r="D102" s="9" t="str">
        <f aca="false">IFERROR(INDEX(fonte!$B$2:$B$200,MATCH(B102,fonte!$A$2:$A$200,0))&amp;" - "&amp;INDEX(fonte!$C$2:$C$200,MATCH(B102,fonte!$A$2:$A$200,0)),"")</f>
        <v>ExRx.net - Dumbbell Lying Hip Abduction</v>
      </c>
    </row>
    <row r="103" customFormat="false" ht="15" hidden="false" customHeight="false" outlineLevel="0" collapsed="false">
      <c r="A103" s="6" t="n">
        <v>88</v>
      </c>
      <c r="B103" s="6" t="n">
        <v>76</v>
      </c>
      <c r="C103" s="9" t="str">
        <f aca="false">IFERROR(INDEX(exercicio!$B$2:$B$190,MATCH(A103,exercicio!$A$2:$A$190,0)),"")</f>
        <v>Adução de Quadril Deitado de Lado</v>
      </c>
      <c r="D103" s="9" t="str">
        <f aca="false">IFERROR(INDEX(fonte!$B$2:$B$200,MATCH(B103,fonte!$A$2:$A$200,0))&amp;" - "&amp;INDEX(fonte!$C$2:$C$200,MATCH(B103,fonte!$A$2:$A$200,0)),"")</f>
        <v>Delmore et al. (2014) - J Sport Rehabil 23(2) - Comparison of hip adductor activation during common exercises</v>
      </c>
    </row>
    <row r="104" customFormat="false" ht="15" hidden="false" customHeight="false" outlineLevel="0" collapsed="false">
      <c r="A104" s="6" t="n">
        <v>88</v>
      </c>
      <c r="B104" s="6" t="n">
        <v>77</v>
      </c>
      <c r="C104" s="9" t="str">
        <f aca="false">IFERROR(INDEX(exercicio!$B$2:$B$190,MATCH(A104,exercicio!$A$2:$A$190,0)),"")</f>
        <v>Adução de Quadril Deitado de Lado</v>
      </c>
      <c r="D104" s="9" t="str">
        <f aca="false">IFERROR(INDEX(fonte!$B$2:$B$200,MATCH(B104,fonte!$A$2:$A$200,0))&amp;" - "&amp;INDEX(fonte!$C$2:$C$200,MATCH(B104,fonte!$A$2:$A$200,0)),"")</f>
        <v>ClinicalTrials.gov - Protocolo NCT02913222 (execução da adução de quadril deitado de lado)</v>
      </c>
    </row>
    <row r="105" customFormat="false" ht="15" hidden="false" customHeight="false" outlineLevel="0" collapsed="false">
      <c r="A105" s="6" t="n">
        <v>89</v>
      </c>
      <c r="B105" s="6" t="n">
        <v>78</v>
      </c>
      <c r="C105" s="9" t="str">
        <f aca="false">IFERROR(INDEX(exercicio!$B$2:$B$190,MATCH(A105,exercicio!$A$2:$A$190,0)),"")</f>
        <v>Afundo Lateral</v>
      </c>
      <c r="D105" s="9" t="str">
        <f aca="false">IFERROR(INDEX(fonte!$B$2:$B$200,MATCH(B105,fonte!$A$2:$A$200,0))&amp;" - "&amp;INDEX(fonte!$C$2:$C$200,MATCH(B105,fonte!$A$2:$A$200,0)),"")</f>
        <v>StrengthLog - Side Lunges (Bodyweight)</v>
      </c>
    </row>
    <row r="106" customFormat="false" ht="15" hidden="false" customHeight="false" outlineLevel="0" collapsed="false">
      <c r="A106" s="6" t="n">
        <v>89</v>
      </c>
      <c r="B106" s="6" t="n">
        <v>79</v>
      </c>
      <c r="C106" s="9" t="str">
        <f aca="false">IFERROR(INDEX(exercicio!$B$2:$B$190,MATCH(A106,exercicio!$A$2:$A$190,0)),"")</f>
        <v>Afundo Lateral</v>
      </c>
      <c r="D106" s="9" t="str">
        <f aca="false">IFERROR(INDEX(fonte!$B$2:$B$200,MATCH(B106,fonte!$A$2:$A$200,0))&amp;" - "&amp;INDEX(fonte!$C$2:$C$200,MATCH(B106,fonte!$A$2:$A$200,0)),"")</f>
        <v>ACE Fitness - A Guide to At-Home Workouts for Beginners (inclui afundo lateral)</v>
      </c>
    </row>
  </sheetData>
  <autoFilter ref="A1:D10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50"/>
  </cols>
  <sheetData>
    <row r="1" customFormat="false" ht="31.5" hidden="false" customHeight="true" outlineLevel="0" collapsed="false">
      <c r="A1" s="4" t="s">
        <v>21</v>
      </c>
      <c r="B1" s="4" t="s">
        <v>570</v>
      </c>
      <c r="C1" s="4" t="s">
        <v>22</v>
      </c>
      <c r="D1" s="4" t="s">
        <v>571</v>
      </c>
      <c r="E1" s="4" t="s">
        <v>24</v>
      </c>
    </row>
    <row r="2" customFormat="false" ht="15" hidden="false" customHeight="false" outlineLevel="0" collapsed="false">
      <c r="A2" s="6" t="n">
        <v>1</v>
      </c>
      <c r="B2" s="6" t="s">
        <v>572</v>
      </c>
      <c r="C2" s="6" t="s">
        <v>573</v>
      </c>
      <c r="D2" s="6" t="s">
        <v>574</v>
      </c>
      <c r="E2" s="6" t="s">
        <v>575</v>
      </c>
    </row>
    <row r="3" customFormat="false" ht="15" hidden="false" customHeight="false" outlineLevel="0" collapsed="false">
      <c r="A3" s="6" t="n">
        <v>2</v>
      </c>
      <c r="B3" s="6" t="s">
        <v>576</v>
      </c>
      <c r="C3" s="6" t="s">
        <v>577</v>
      </c>
      <c r="D3" s="6" t="s">
        <v>574</v>
      </c>
      <c r="E3" s="6" t="s">
        <v>578</v>
      </c>
    </row>
    <row r="4" customFormat="false" ht="15" hidden="false" customHeight="false" outlineLevel="0" collapsed="false">
      <c r="A4" s="6" t="n">
        <v>3</v>
      </c>
      <c r="B4" s="6" t="s">
        <v>579</v>
      </c>
      <c r="C4" s="6" t="s">
        <v>580</v>
      </c>
      <c r="D4" s="6" t="s">
        <v>574</v>
      </c>
      <c r="E4" s="6" t="s">
        <v>581</v>
      </c>
    </row>
    <row r="5" customFormat="false" ht="15" hidden="false" customHeight="false" outlineLevel="0" collapsed="false">
      <c r="A5" s="6" t="n">
        <v>4</v>
      </c>
      <c r="B5" s="6" t="s">
        <v>582</v>
      </c>
      <c r="C5" s="6" t="s">
        <v>583</v>
      </c>
      <c r="D5" s="6" t="s">
        <v>574</v>
      </c>
      <c r="E5" s="6" t="s">
        <v>584</v>
      </c>
    </row>
    <row r="6" customFormat="false" ht="15" hidden="false" customHeight="false" outlineLevel="0" collapsed="false">
      <c r="A6" s="6" t="n">
        <v>5</v>
      </c>
      <c r="B6" s="6" t="s">
        <v>585</v>
      </c>
      <c r="C6" s="6" t="s">
        <v>586</v>
      </c>
      <c r="D6" s="6" t="s">
        <v>574</v>
      </c>
      <c r="E6" s="6" t="s">
        <v>587</v>
      </c>
    </row>
    <row r="7" customFormat="false" ht="15" hidden="false" customHeight="false" outlineLevel="0" collapsed="false">
      <c r="A7" s="6" t="n">
        <v>6</v>
      </c>
      <c r="B7" s="6" t="s">
        <v>588</v>
      </c>
      <c r="C7" s="6" t="s">
        <v>589</v>
      </c>
      <c r="D7" s="6" t="s">
        <v>574</v>
      </c>
      <c r="E7" s="6" t="s">
        <v>590</v>
      </c>
    </row>
    <row r="8" customFormat="false" ht="15" hidden="false" customHeight="false" outlineLevel="0" collapsed="false">
      <c r="A8" s="6" t="n">
        <v>7</v>
      </c>
      <c r="B8" s="6" t="s">
        <v>591</v>
      </c>
      <c r="C8" s="6" t="s">
        <v>592</v>
      </c>
      <c r="D8" s="6" t="s">
        <v>574</v>
      </c>
      <c r="E8" s="6" t="s">
        <v>593</v>
      </c>
    </row>
    <row r="9" customFormat="false" ht="15" hidden="false" customHeight="false" outlineLevel="0" collapsed="false">
      <c r="A9" s="6" t="n">
        <v>8</v>
      </c>
      <c r="B9" s="6" t="s">
        <v>594</v>
      </c>
      <c r="C9" s="6" t="s">
        <v>595</v>
      </c>
      <c r="D9" s="6" t="s">
        <v>596</v>
      </c>
      <c r="E9" s="6" t="s">
        <v>597</v>
      </c>
    </row>
    <row r="10" customFormat="false" ht="15" hidden="false" customHeight="false" outlineLevel="0" collapsed="false">
      <c r="A10" s="6" t="n">
        <v>9</v>
      </c>
      <c r="B10" s="6" t="s">
        <v>598</v>
      </c>
      <c r="C10" s="6" t="s">
        <v>599</v>
      </c>
      <c r="D10" s="6" t="s">
        <v>596</v>
      </c>
      <c r="E10" s="6" t="s">
        <v>600</v>
      </c>
    </row>
    <row r="11" customFormat="false" ht="15" hidden="false" customHeight="false" outlineLevel="0" collapsed="false">
      <c r="A11" s="6" t="n">
        <v>10</v>
      </c>
      <c r="B11" s="6" t="s">
        <v>601</v>
      </c>
      <c r="C11" s="6" t="s">
        <v>602</v>
      </c>
      <c r="D11" s="6" t="s">
        <v>603</v>
      </c>
      <c r="E11" s="6" t="s">
        <v>604</v>
      </c>
    </row>
    <row r="12" customFormat="false" ht="15" hidden="false" customHeight="false" outlineLevel="0" collapsed="false">
      <c r="A12" s="6" t="n">
        <v>11</v>
      </c>
      <c r="B12" s="6" t="s">
        <v>605</v>
      </c>
      <c r="C12" s="6" t="s">
        <v>606</v>
      </c>
      <c r="D12" s="6" t="s">
        <v>603</v>
      </c>
      <c r="E12" s="6" t="s">
        <v>607</v>
      </c>
    </row>
    <row r="13" customFormat="false" ht="15" hidden="false" customHeight="false" outlineLevel="0" collapsed="false">
      <c r="A13" s="6" t="n">
        <v>12</v>
      </c>
      <c r="B13" s="6" t="s">
        <v>608</v>
      </c>
      <c r="C13" s="6" t="s">
        <v>609</v>
      </c>
      <c r="D13" s="6" t="s">
        <v>603</v>
      </c>
      <c r="E13" s="6" t="s">
        <v>610</v>
      </c>
    </row>
    <row r="14" customFormat="false" ht="15" hidden="false" customHeight="false" outlineLevel="0" collapsed="false">
      <c r="A14" s="6" t="n">
        <v>13</v>
      </c>
      <c r="B14" s="6" t="s">
        <v>611</v>
      </c>
      <c r="C14" s="6" t="s">
        <v>612</v>
      </c>
      <c r="D14" s="6" t="s">
        <v>603</v>
      </c>
      <c r="E14" s="6" t="s">
        <v>613</v>
      </c>
    </row>
    <row r="15" customFormat="false" ht="15" hidden="false" customHeight="false" outlineLevel="0" collapsed="false">
      <c r="A15" s="6" t="n">
        <v>14</v>
      </c>
      <c r="B15" s="6" t="s">
        <v>614</v>
      </c>
      <c r="C15" s="6" t="s">
        <v>615</v>
      </c>
      <c r="D15" s="6" t="s">
        <v>603</v>
      </c>
      <c r="E15" s="6" t="s">
        <v>616</v>
      </c>
    </row>
  </sheetData>
  <autoFilter ref="A1:E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70"/>
  </cols>
  <sheetData>
    <row r="1" customFormat="false" ht="31.5" hidden="false" customHeight="true" outlineLevel="0" collapsed="false">
      <c r="A1" s="4" t="s">
        <v>21</v>
      </c>
      <c r="B1" s="4" t="s">
        <v>22</v>
      </c>
      <c r="C1" s="4" t="s">
        <v>617</v>
      </c>
      <c r="D1" s="4" t="s">
        <v>24</v>
      </c>
    </row>
    <row r="2" customFormat="false" ht="15" hidden="false" customHeight="false" outlineLevel="0" collapsed="false">
      <c r="A2" s="6" t="n">
        <v>1</v>
      </c>
      <c r="B2" s="6" t="s">
        <v>618</v>
      </c>
      <c r="C2" s="6" t="s">
        <v>619</v>
      </c>
      <c r="D2" s="7" t="s">
        <v>620</v>
      </c>
    </row>
    <row r="3" customFormat="false" ht="15" hidden="false" customHeight="false" outlineLevel="0" collapsed="false">
      <c r="A3" s="6" t="n">
        <v>2</v>
      </c>
      <c r="B3" s="6" t="s">
        <v>621</v>
      </c>
      <c r="C3" s="6" t="s">
        <v>619</v>
      </c>
      <c r="D3" s="7"/>
    </row>
    <row r="4" customFormat="false" ht="15" hidden="false" customHeight="false" outlineLevel="0" collapsed="false">
      <c r="A4" s="6" t="n">
        <v>3</v>
      </c>
      <c r="B4" s="6" t="s">
        <v>622</v>
      </c>
      <c r="C4" s="6" t="s">
        <v>623</v>
      </c>
      <c r="D4" s="7" t="s">
        <v>624</v>
      </c>
    </row>
    <row r="5" customFormat="false" ht="15" hidden="false" customHeight="false" outlineLevel="0" collapsed="false">
      <c r="A5" s="6" t="n">
        <v>4</v>
      </c>
      <c r="B5" s="6" t="s">
        <v>625</v>
      </c>
      <c r="C5" s="6" t="s">
        <v>623</v>
      </c>
      <c r="D5" s="7" t="s">
        <v>626</v>
      </c>
    </row>
    <row r="6" customFormat="false" ht="15" hidden="false" customHeight="false" outlineLevel="0" collapsed="false">
      <c r="A6" s="6" t="n">
        <v>5</v>
      </c>
      <c r="B6" s="6" t="s">
        <v>627</v>
      </c>
      <c r="C6" s="6" t="s">
        <v>623</v>
      </c>
      <c r="D6" s="7" t="s">
        <v>628</v>
      </c>
    </row>
    <row r="7" customFormat="false" ht="15" hidden="false" customHeight="false" outlineLevel="0" collapsed="false">
      <c r="A7" s="6" t="n">
        <v>6</v>
      </c>
      <c r="B7" s="6" t="s">
        <v>629</v>
      </c>
      <c r="C7" s="6" t="s">
        <v>623</v>
      </c>
      <c r="D7" s="7"/>
    </row>
    <row r="8" customFormat="false" ht="15" hidden="false" customHeight="false" outlineLevel="0" collapsed="false">
      <c r="A8" s="6" t="n">
        <v>7</v>
      </c>
      <c r="B8" s="6" t="s">
        <v>630</v>
      </c>
      <c r="C8" s="6" t="s">
        <v>631</v>
      </c>
      <c r="D8" s="7" t="s">
        <v>632</v>
      </c>
    </row>
    <row r="9" customFormat="false" ht="15" hidden="false" customHeight="false" outlineLevel="0" collapsed="false">
      <c r="A9" s="6" t="n">
        <v>8</v>
      </c>
      <c r="B9" s="6" t="s">
        <v>633</v>
      </c>
      <c r="C9" s="6" t="s">
        <v>631</v>
      </c>
      <c r="D9" s="7"/>
    </row>
    <row r="10" customFormat="false" ht="15" hidden="false" customHeight="false" outlineLevel="0" collapsed="false">
      <c r="A10" s="6" t="n">
        <v>9</v>
      </c>
      <c r="B10" s="6" t="s">
        <v>634</v>
      </c>
      <c r="C10" s="6" t="s">
        <v>631</v>
      </c>
      <c r="D10" s="7" t="s">
        <v>635</v>
      </c>
    </row>
    <row r="11" customFormat="false" ht="15" hidden="false" customHeight="false" outlineLevel="0" collapsed="false">
      <c r="A11" s="6" t="n">
        <v>10</v>
      </c>
      <c r="B11" s="6" t="s">
        <v>636</v>
      </c>
      <c r="C11" s="6" t="s">
        <v>631</v>
      </c>
      <c r="D11" s="7" t="s">
        <v>637</v>
      </c>
    </row>
    <row r="12" customFormat="false" ht="15" hidden="false" customHeight="false" outlineLevel="0" collapsed="false">
      <c r="A12" s="6" t="n">
        <v>11</v>
      </c>
      <c r="B12" s="6" t="s">
        <v>638</v>
      </c>
      <c r="C12" s="6" t="s">
        <v>639</v>
      </c>
      <c r="D12" s="7" t="s">
        <v>640</v>
      </c>
    </row>
    <row r="13" customFormat="false" ht="15" hidden="false" customHeight="false" outlineLevel="0" collapsed="false">
      <c r="A13" s="6" t="n">
        <v>12</v>
      </c>
      <c r="B13" s="6" t="s">
        <v>641</v>
      </c>
      <c r="C13" s="6" t="s">
        <v>639</v>
      </c>
      <c r="D13" s="7" t="s">
        <v>642</v>
      </c>
    </row>
    <row r="14" customFormat="false" ht="15" hidden="false" customHeight="false" outlineLevel="0" collapsed="false">
      <c r="A14" s="6" t="n">
        <v>13</v>
      </c>
      <c r="B14" s="6" t="s">
        <v>643</v>
      </c>
      <c r="C14" s="6" t="s">
        <v>639</v>
      </c>
      <c r="D14" s="7"/>
    </row>
    <row r="15" customFormat="false" ht="15" hidden="false" customHeight="false" outlineLevel="0" collapsed="false">
      <c r="A15" s="6" t="n">
        <v>14</v>
      </c>
      <c r="B15" s="6" t="s">
        <v>644</v>
      </c>
      <c r="C15" s="6" t="s">
        <v>639</v>
      </c>
      <c r="D15" s="7"/>
    </row>
    <row r="16" customFormat="false" ht="15" hidden="false" customHeight="false" outlineLevel="0" collapsed="false">
      <c r="A16" s="6" t="n">
        <v>15</v>
      </c>
      <c r="B16" s="6" t="s">
        <v>645</v>
      </c>
      <c r="C16" s="6" t="s">
        <v>639</v>
      </c>
      <c r="D16" s="7"/>
    </row>
    <row r="17" customFormat="false" ht="15" hidden="false" customHeight="false" outlineLevel="0" collapsed="false">
      <c r="A17" s="6" t="n">
        <v>16</v>
      </c>
      <c r="B17" s="6" t="s">
        <v>646</v>
      </c>
      <c r="C17" s="6" t="s">
        <v>639</v>
      </c>
      <c r="D17" s="7"/>
    </row>
    <row r="18" customFormat="false" ht="15" hidden="false" customHeight="false" outlineLevel="0" collapsed="false">
      <c r="A18" s="6" t="n">
        <v>17</v>
      </c>
      <c r="B18" s="6" t="s">
        <v>647</v>
      </c>
      <c r="C18" s="6" t="s">
        <v>639</v>
      </c>
      <c r="D18" s="7"/>
    </row>
    <row r="19" customFormat="false" ht="15" hidden="false" customHeight="false" outlineLevel="0" collapsed="false">
      <c r="A19" s="6" t="n">
        <v>18</v>
      </c>
      <c r="B19" s="6" t="s">
        <v>648</v>
      </c>
      <c r="C19" s="6" t="s">
        <v>639</v>
      </c>
      <c r="D19" s="7"/>
    </row>
    <row r="20" customFormat="false" ht="15" hidden="false" customHeight="false" outlineLevel="0" collapsed="false">
      <c r="A20" s="6" t="n">
        <v>19</v>
      </c>
      <c r="B20" s="6" t="s">
        <v>649</v>
      </c>
      <c r="C20" s="6" t="s">
        <v>639</v>
      </c>
      <c r="D20" s="7" t="s">
        <v>650</v>
      </c>
    </row>
    <row r="21" customFormat="false" ht="15" hidden="false" customHeight="false" outlineLevel="0" collapsed="false">
      <c r="A21" s="6" t="n">
        <v>20</v>
      </c>
      <c r="B21" s="6" t="s">
        <v>651</v>
      </c>
      <c r="C21" s="6" t="s">
        <v>639</v>
      </c>
      <c r="D21" s="7"/>
    </row>
    <row r="22" customFormat="false" ht="15" hidden="false" customHeight="false" outlineLevel="0" collapsed="false">
      <c r="A22" s="6" t="n">
        <v>21</v>
      </c>
      <c r="B22" s="6" t="s">
        <v>652</v>
      </c>
      <c r="C22" s="6" t="s">
        <v>619</v>
      </c>
      <c r="D22" s="7" t="s">
        <v>653</v>
      </c>
    </row>
    <row r="23" customFormat="false" ht="15" hidden="false" customHeight="false" outlineLevel="0" collapsed="false">
      <c r="A23" s="6" t="n">
        <v>22</v>
      </c>
      <c r="B23" s="6" t="s">
        <v>654</v>
      </c>
      <c r="C23" s="6" t="s">
        <v>639</v>
      </c>
      <c r="D23" s="7" t="s">
        <v>655</v>
      </c>
    </row>
    <row r="24" customFormat="false" ht="15" hidden="false" customHeight="false" outlineLevel="0" collapsed="false">
      <c r="A24" s="6" t="n">
        <v>23</v>
      </c>
      <c r="B24" s="6" t="s">
        <v>656</v>
      </c>
      <c r="C24" s="6" t="s">
        <v>639</v>
      </c>
      <c r="D24" s="7" t="s">
        <v>657</v>
      </c>
    </row>
    <row r="25" customFormat="false" ht="15" hidden="false" customHeight="false" outlineLevel="0" collapsed="false">
      <c r="A25" s="6" t="n">
        <v>24</v>
      </c>
      <c r="B25" s="6" t="s">
        <v>658</v>
      </c>
      <c r="C25" s="6" t="s">
        <v>639</v>
      </c>
      <c r="D25" s="7"/>
    </row>
    <row r="26" customFormat="false" ht="15" hidden="false" customHeight="false" outlineLevel="0" collapsed="false">
      <c r="A26" s="6" t="n">
        <v>25</v>
      </c>
      <c r="B26" s="6" t="s">
        <v>659</v>
      </c>
      <c r="C26" s="6" t="s">
        <v>639</v>
      </c>
      <c r="D26" s="7" t="s">
        <v>660</v>
      </c>
    </row>
    <row r="27" customFormat="false" ht="15" hidden="false" customHeight="false" outlineLevel="0" collapsed="false">
      <c r="A27" s="6" t="n">
        <v>26</v>
      </c>
      <c r="B27" s="6" t="s">
        <v>661</v>
      </c>
      <c r="C27" s="6" t="s">
        <v>639</v>
      </c>
      <c r="D27" s="7" t="s">
        <v>662</v>
      </c>
    </row>
    <row r="28" customFormat="false" ht="15" hidden="false" customHeight="false" outlineLevel="0" collapsed="false">
      <c r="A28" s="6" t="n">
        <v>27</v>
      </c>
      <c r="B28" s="6" t="s">
        <v>663</v>
      </c>
      <c r="C28" s="6" t="s">
        <v>639</v>
      </c>
      <c r="D28" s="7" t="s">
        <v>664</v>
      </c>
    </row>
    <row r="29" customFormat="false" ht="15" hidden="false" customHeight="false" outlineLevel="0" collapsed="false">
      <c r="A29" s="6" t="n">
        <v>28</v>
      </c>
      <c r="B29" s="6" t="s">
        <v>665</v>
      </c>
      <c r="C29" s="6" t="s">
        <v>639</v>
      </c>
      <c r="D29" s="7" t="s">
        <v>666</v>
      </c>
    </row>
    <row r="30" customFormat="false" ht="15" hidden="false" customHeight="false" outlineLevel="0" collapsed="false">
      <c r="A30" s="6" t="n">
        <v>29</v>
      </c>
      <c r="B30" s="6" t="s">
        <v>667</v>
      </c>
      <c r="C30" s="6" t="s">
        <v>639</v>
      </c>
      <c r="D30" s="7"/>
    </row>
    <row r="31" customFormat="false" ht="15" hidden="false" customHeight="false" outlineLevel="0" collapsed="false">
      <c r="A31" s="6" t="n">
        <v>30</v>
      </c>
      <c r="B31" s="6" t="s">
        <v>668</v>
      </c>
      <c r="C31" s="6" t="s">
        <v>639</v>
      </c>
      <c r="D31" s="7"/>
    </row>
    <row r="32" customFormat="false" ht="15" hidden="false" customHeight="false" outlineLevel="0" collapsed="false">
      <c r="A32" s="6" t="n">
        <v>31</v>
      </c>
      <c r="B32" s="6" t="s">
        <v>669</v>
      </c>
      <c r="C32" s="6" t="s">
        <v>639</v>
      </c>
      <c r="D32" s="7"/>
    </row>
  </sheetData>
  <autoFilter ref="A1:D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34"/>
  </cols>
  <sheetData>
    <row r="1" customFormat="false" ht="31.5" hidden="false" customHeight="true" outlineLevel="0" collapsed="false">
      <c r="A1" s="4" t="s">
        <v>21</v>
      </c>
      <c r="B1" s="4" t="s">
        <v>570</v>
      </c>
      <c r="C1" s="4" t="s">
        <v>22</v>
      </c>
    </row>
    <row r="2" customFormat="false" ht="15" hidden="false" customHeight="false" outlineLevel="0" collapsed="false">
      <c r="A2" s="6" t="n">
        <v>1</v>
      </c>
      <c r="B2" s="6" t="s">
        <v>670</v>
      </c>
      <c r="C2" s="6" t="s">
        <v>671</v>
      </c>
    </row>
    <row r="3" customFormat="false" ht="15" hidden="false" customHeight="false" outlineLevel="0" collapsed="false">
      <c r="A3" s="6" t="n">
        <v>2</v>
      </c>
      <c r="B3" s="6" t="s">
        <v>672</v>
      </c>
      <c r="C3" s="6" t="s">
        <v>673</v>
      </c>
    </row>
    <row r="4" customFormat="false" ht="15" hidden="false" customHeight="false" outlineLevel="0" collapsed="false">
      <c r="A4" s="6" t="n">
        <v>3</v>
      </c>
      <c r="B4" s="6" t="s">
        <v>674</v>
      </c>
      <c r="C4" s="6" t="s">
        <v>675</v>
      </c>
    </row>
    <row r="5" customFormat="false" ht="15" hidden="false" customHeight="false" outlineLevel="0" collapsed="false">
      <c r="A5" s="6" t="n">
        <v>4</v>
      </c>
      <c r="B5" s="6" t="s">
        <v>676</v>
      </c>
      <c r="C5" s="6" t="s">
        <v>677</v>
      </c>
    </row>
    <row r="6" customFormat="false" ht="15" hidden="false" customHeight="false" outlineLevel="0" collapsed="false">
      <c r="A6" s="6" t="n">
        <v>5</v>
      </c>
      <c r="B6" s="6" t="s">
        <v>678</v>
      </c>
      <c r="C6" s="6" t="s">
        <v>679</v>
      </c>
    </row>
    <row r="7" customFormat="false" ht="15" hidden="false" customHeight="false" outlineLevel="0" collapsed="false">
      <c r="A7" s="6" t="n">
        <v>6</v>
      </c>
      <c r="B7" s="6" t="s">
        <v>680</v>
      </c>
      <c r="C7" s="6" t="s">
        <v>681</v>
      </c>
    </row>
    <row r="8" customFormat="false" ht="15" hidden="false" customHeight="false" outlineLevel="0" collapsed="false">
      <c r="A8" s="6" t="n">
        <v>7</v>
      </c>
      <c r="B8" s="6" t="s">
        <v>682</v>
      </c>
      <c r="C8" s="6" t="s">
        <v>683</v>
      </c>
    </row>
    <row r="9" customFormat="false" ht="15" hidden="false" customHeight="false" outlineLevel="0" collapsed="false">
      <c r="A9" s="6" t="n">
        <v>8</v>
      </c>
      <c r="B9" s="6" t="s">
        <v>684</v>
      </c>
      <c r="C9" s="6" t="s">
        <v>685</v>
      </c>
    </row>
    <row r="10" customFormat="false" ht="15" hidden="false" customHeight="false" outlineLevel="0" collapsed="false">
      <c r="A10" s="6" t="n">
        <v>9</v>
      </c>
      <c r="B10" s="6" t="s">
        <v>686</v>
      </c>
      <c r="C10" s="6" t="s">
        <v>687</v>
      </c>
    </row>
    <row r="11" customFormat="false" ht="15" hidden="false" customHeight="false" outlineLevel="0" collapsed="false">
      <c r="A11" s="6" t="n">
        <v>10</v>
      </c>
      <c r="B11" s="6" t="s">
        <v>688</v>
      </c>
      <c r="C11" s="6" t="s">
        <v>689</v>
      </c>
    </row>
    <row r="12" customFormat="false" ht="15" hidden="false" customHeight="false" outlineLevel="0" collapsed="false">
      <c r="A12" s="6" t="n">
        <v>11</v>
      </c>
      <c r="B12" s="6" t="s">
        <v>690</v>
      </c>
      <c r="C12" s="6" t="s">
        <v>691</v>
      </c>
    </row>
    <row r="13" customFormat="false" ht="15" hidden="false" customHeight="false" outlineLevel="0" collapsed="false">
      <c r="A13" s="6" t="n">
        <v>12</v>
      </c>
      <c r="B13" s="6" t="s">
        <v>692</v>
      </c>
      <c r="C13" s="6" t="s">
        <v>693</v>
      </c>
    </row>
    <row r="14" customFormat="false" ht="15" hidden="false" customHeight="false" outlineLevel="0" collapsed="false">
      <c r="A14" s="6" t="n">
        <v>13</v>
      </c>
      <c r="B14" s="6" t="s">
        <v>694</v>
      </c>
      <c r="C14" s="6" t="s">
        <v>695</v>
      </c>
    </row>
    <row r="15" customFormat="false" ht="15" hidden="false" customHeight="false" outlineLevel="0" collapsed="false">
      <c r="A15" s="6" t="n">
        <v>14</v>
      </c>
      <c r="B15" s="6" t="s">
        <v>696</v>
      </c>
      <c r="C15" s="6" t="s">
        <v>697</v>
      </c>
    </row>
    <row r="16" customFormat="false" ht="15" hidden="false" customHeight="false" outlineLevel="0" collapsed="false">
      <c r="A16" s="6" t="n">
        <v>15</v>
      </c>
      <c r="B16" s="6" t="s">
        <v>698</v>
      </c>
      <c r="C16" s="6" t="s">
        <v>699</v>
      </c>
    </row>
    <row r="17" customFormat="false" ht="15" hidden="false" customHeight="false" outlineLevel="0" collapsed="false">
      <c r="A17" s="6" t="n">
        <v>16</v>
      </c>
      <c r="B17" s="6" t="s">
        <v>700</v>
      </c>
      <c r="C17" s="6" t="s">
        <v>701</v>
      </c>
    </row>
    <row r="18" customFormat="false" ht="15" hidden="false" customHeight="false" outlineLevel="0" collapsed="false">
      <c r="A18" s="6" t="n">
        <v>17</v>
      </c>
      <c r="B18" s="6" t="s">
        <v>702</v>
      </c>
      <c r="C18" s="6" t="s">
        <v>703</v>
      </c>
    </row>
    <row r="19" customFormat="false" ht="15" hidden="false" customHeight="false" outlineLevel="0" collapsed="false">
      <c r="A19" s="6" t="n">
        <v>18</v>
      </c>
      <c r="B19" s="6" t="s">
        <v>704</v>
      </c>
      <c r="C19" s="6" t="s">
        <v>705</v>
      </c>
    </row>
    <row r="20" customFormat="false" ht="15" hidden="false" customHeight="false" outlineLevel="0" collapsed="false">
      <c r="A20" s="6" t="n">
        <v>19</v>
      </c>
      <c r="B20" s="6" t="s">
        <v>706</v>
      </c>
      <c r="C20" s="6" t="s">
        <v>707</v>
      </c>
    </row>
    <row r="21" customFormat="false" ht="15" hidden="false" customHeight="false" outlineLevel="0" collapsed="false">
      <c r="A21" s="6" t="n">
        <v>20</v>
      </c>
      <c r="B21" s="6" t="s">
        <v>708</v>
      </c>
      <c r="C21" s="6" t="s">
        <v>709</v>
      </c>
    </row>
  </sheetData>
  <autoFilter ref="A1:C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80"/>
  </cols>
  <sheetData>
    <row r="1" customFormat="false" ht="31.5" hidden="false" customHeight="true" outlineLevel="0" collapsed="false">
      <c r="A1" s="4" t="s">
        <v>21</v>
      </c>
      <c r="B1" s="4" t="s">
        <v>22</v>
      </c>
      <c r="C1" s="4" t="s">
        <v>24</v>
      </c>
    </row>
    <row r="2" customFormat="false" ht="15" hidden="false" customHeight="false" outlineLevel="0" collapsed="false">
      <c r="A2" s="6" t="n">
        <v>1</v>
      </c>
      <c r="B2" s="6" t="s">
        <v>710</v>
      </c>
      <c r="C2" s="7" t="s">
        <v>711</v>
      </c>
    </row>
    <row r="3" customFormat="false" ht="15" hidden="false" customHeight="false" outlineLevel="0" collapsed="false">
      <c r="A3" s="6" t="n">
        <v>2</v>
      </c>
      <c r="B3" s="6" t="s">
        <v>712</v>
      </c>
      <c r="C3" s="7" t="s">
        <v>713</v>
      </c>
    </row>
    <row r="4" customFormat="false" ht="15" hidden="false" customHeight="false" outlineLevel="0" collapsed="false">
      <c r="A4" s="6" t="n">
        <v>3</v>
      </c>
      <c r="B4" s="6" t="s">
        <v>714</v>
      </c>
      <c r="C4" s="7" t="s">
        <v>715</v>
      </c>
    </row>
  </sheetData>
  <autoFilter ref="A1:C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48"/>
    <col collapsed="false" customWidth="true" hidden="false" outlineLevel="0" max="4" min="4" style="0" width="60"/>
    <col collapsed="false" customWidth="true" hidden="false" outlineLevel="0" max="5" min="5" style="0" width="34"/>
  </cols>
  <sheetData>
    <row r="1" customFormat="false" ht="31.5" hidden="false" customHeight="true" outlineLevel="0" collapsed="false">
      <c r="A1" s="4" t="s">
        <v>21</v>
      </c>
      <c r="B1" s="4" t="s">
        <v>716</v>
      </c>
      <c r="C1" s="4" t="s">
        <v>717</v>
      </c>
      <c r="D1" s="4" t="s">
        <v>718</v>
      </c>
      <c r="E1" s="4" t="s">
        <v>719</v>
      </c>
    </row>
    <row r="2" customFormat="false" ht="15" hidden="false" customHeight="false" outlineLevel="0" collapsed="false">
      <c r="A2" s="6" t="n">
        <v>1</v>
      </c>
      <c r="B2" s="6" t="s">
        <v>720</v>
      </c>
      <c r="C2" s="7" t="s">
        <v>721</v>
      </c>
      <c r="D2" s="7" t="s">
        <v>722</v>
      </c>
      <c r="E2" s="6" t="s">
        <v>723</v>
      </c>
    </row>
    <row r="3" customFormat="false" ht="23.85" hidden="false" customHeight="false" outlineLevel="0" collapsed="false">
      <c r="A3" s="6" t="n">
        <v>2</v>
      </c>
      <c r="B3" s="6" t="s">
        <v>724</v>
      </c>
      <c r="C3" s="7" t="s">
        <v>725</v>
      </c>
      <c r="D3" s="7" t="s">
        <v>726</v>
      </c>
      <c r="E3" s="6" t="s">
        <v>727</v>
      </c>
    </row>
    <row r="4" customFormat="false" ht="15" hidden="false" customHeight="false" outlineLevel="0" collapsed="false">
      <c r="A4" s="6" t="n">
        <v>3</v>
      </c>
      <c r="B4" s="6" t="s">
        <v>728</v>
      </c>
      <c r="C4" s="7" t="s">
        <v>729</v>
      </c>
      <c r="D4" s="7" t="s">
        <v>730</v>
      </c>
      <c r="E4" s="6" t="s">
        <v>731</v>
      </c>
    </row>
    <row r="5" customFormat="false" ht="15" hidden="false" customHeight="false" outlineLevel="0" collapsed="false">
      <c r="A5" s="6" t="n">
        <v>4</v>
      </c>
      <c r="B5" s="6" t="s">
        <v>732</v>
      </c>
      <c r="C5" s="7" t="s">
        <v>85</v>
      </c>
      <c r="D5" s="7" t="s">
        <v>733</v>
      </c>
      <c r="E5" s="6" t="s">
        <v>727</v>
      </c>
    </row>
    <row r="6" customFormat="false" ht="23.85" hidden="false" customHeight="false" outlineLevel="0" collapsed="false">
      <c r="A6" s="6" t="n">
        <v>5</v>
      </c>
      <c r="B6" s="6" t="s">
        <v>734</v>
      </c>
      <c r="C6" s="7" t="s">
        <v>735</v>
      </c>
      <c r="D6" s="7" t="s">
        <v>736</v>
      </c>
      <c r="E6" s="6" t="s">
        <v>737</v>
      </c>
    </row>
    <row r="7" customFormat="false" ht="15" hidden="false" customHeight="false" outlineLevel="0" collapsed="false">
      <c r="A7" s="6" t="n">
        <v>6</v>
      </c>
      <c r="B7" s="6" t="s">
        <v>738</v>
      </c>
      <c r="C7" s="7" t="s">
        <v>739</v>
      </c>
      <c r="D7" s="7" t="s">
        <v>740</v>
      </c>
      <c r="E7" s="6" t="s">
        <v>727</v>
      </c>
    </row>
    <row r="8" customFormat="false" ht="15" hidden="false" customHeight="false" outlineLevel="0" collapsed="false">
      <c r="A8" s="6" t="n">
        <v>7</v>
      </c>
      <c r="B8" s="6" t="s">
        <v>741</v>
      </c>
      <c r="C8" s="7" t="s">
        <v>79</v>
      </c>
      <c r="D8" s="7" t="s">
        <v>742</v>
      </c>
      <c r="E8" s="6" t="s">
        <v>743</v>
      </c>
    </row>
    <row r="9" customFormat="false" ht="15" hidden="false" customHeight="false" outlineLevel="0" collapsed="false">
      <c r="A9" s="6" t="n">
        <v>8</v>
      </c>
      <c r="B9" s="6" t="s">
        <v>724</v>
      </c>
      <c r="C9" s="7" t="s">
        <v>744</v>
      </c>
      <c r="D9" s="7" t="s">
        <v>745</v>
      </c>
      <c r="E9" s="6" t="s">
        <v>727</v>
      </c>
    </row>
    <row r="10" customFormat="false" ht="23.85" hidden="false" customHeight="false" outlineLevel="0" collapsed="false">
      <c r="A10" s="6" t="n">
        <v>9</v>
      </c>
      <c r="B10" s="6" t="s">
        <v>746</v>
      </c>
      <c r="C10" s="7" t="s">
        <v>747</v>
      </c>
      <c r="D10" s="7" t="s">
        <v>748</v>
      </c>
      <c r="E10" s="6" t="s">
        <v>749</v>
      </c>
    </row>
    <row r="11" customFormat="false" ht="15" hidden="false" customHeight="false" outlineLevel="0" collapsed="false">
      <c r="A11" s="6" t="n">
        <v>10</v>
      </c>
      <c r="B11" s="6" t="s">
        <v>750</v>
      </c>
      <c r="C11" s="7" t="s">
        <v>751</v>
      </c>
      <c r="D11" s="7" t="s">
        <v>752</v>
      </c>
      <c r="E11" s="6" t="s">
        <v>727</v>
      </c>
    </row>
    <row r="12" customFormat="false" ht="15" hidden="false" customHeight="false" outlineLevel="0" collapsed="false">
      <c r="A12" s="6" t="n">
        <v>11</v>
      </c>
      <c r="B12" s="6" t="s">
        <v>732</v>
      </c>
      <c r="C12" s="7" t="s">
        <v>753</v>
      </c>
      <c r="D12" s="7" t="s">
        <v>754</v>
      </c>
      <c r="E12" s="6" t="s">
        <v>727</v>
      </c>
    </row>
    <row r="13" customFormat="false" ht="15" hidden="false" customHeight="false" outlineLevel="0" collapsed="false">
      <c r="A13" s="6" t="n">
        <v>12</v>
      </c>
      <c r="B13" s="6" t="s">
        <v>728</v>
      </c>
      <c r="C13" s="7" t="s">
        <v>755</v>
      </c>
      <c r="D13" s="7" t="s">
        <v>756</v>
      </c>
      <c r="E13" s="6" t="s">
        <v>723</v>
      </c>
    </row>
    <row r="14" customFormat="false" ht="15" hidden="false" customHeight="false" outlineLevel="0" collapsed="false">
      <c r="A14" s="6" t="n">
        <v>13</v>
      </c>
      <c r="B14" s="6" t="s">
        <v>728</v>
      </c>
      <c r="C14" s="7" t="s">
        <v>757</v>
      </c>
      <c r="D14" s="7" t="s">
        <v>758</v>
      </c>
      <c r="E14" s="6" t="s">
        <v>723</v>
      </c>
    </row>
    <row r="15" customFormat="false" ht="15" hidden="false" customHeight="false" outlineLevel="0" collapsed="false">
      <c r="A15" s="6" t="n">
        <v>14</v>
      </c>
      <c r="B15" s="6" t="s">
        <v>759</v>
      </c>
      <c r="C15" s="7" t="s">
        <v>760</v>
      </c>
      <c r="D15" s="7" t="s">
        <v>761</v>
      </c>
      <c r="E15" s="6" t="s">
        <v>762</v>
      </c>
    </row>
    <row r="16" customFormat="false" ht="15" hidden="false" customHeight="false" outlineLevel="0" collapsed="false">
      <c r="A16" s="6" t="n">
        <v>15</v>
      </c>
      <c r="B16" s="6" t="s">
        <v>763</v>
      </c>
      <c r="C16" s="7" t="s">
        <v>117</v>
      </c>
      <c r="D16" s="7" t="s">
        <v>764</v>
      </c>
      <c r="E16" s="6" t="s">
        <v>723</v>
      </c>
    </row>
    <row r="17" customFormat="false" ht="15" hidden="false" customHeight="false" outlineLevel="0" collapsed="false">
      <c r="A17" s="6" t="n">
        <v>16</v>
      </c>
      <c r="B17" s="6" t="s">
        <v>765</v>
      </c>
      <c r="C17" s="7" t="s">
        <v>766</v>
      </c>
      <c r="D17" s="7" t="s">
        <v>767</v>
      </c>
      <c r="E17" s="6" t="s">
        <v>768</v>
      </c>
    </row>
    <row r="18" customFormat="false" ht="23.85" hidden="false" customHeight="false" outlineLevel="0" collapsed="false">
      <c r="A18" s="6" t="n">
        <v>17</v>
      </c>
      <c r="B18" s="6" t="s">
        <v>769</v>
      </c>
      <c r="C18" s="7" t="s">
        <v>770</v>
      </c>
      <c r="D18" s="7" t="s">
        <v>771</v>
      </c>
      <c r="E18" s="6" t="s">
        <v>723</v>
      </c>
    </row>
    <row r="19" customFormat="false" ht="15" hidden="false" customHeight="false" outlineLevel="0" collapsed="false">
      <c r="A19" s="6" t="n">
        <v>18</v>
      </c>
      <c r="B19" s="6" t="s">
        <v>759</v>
      </c>
      <c r="C19" s="7" t="s">
        <v>772</v>
      </c>
      <c r="D19" s="7" t="s">
        <v>773</v>
      </c>
      <c r="E19" s="6" t="s">
        <v>762</v>
      </c>
    </row>
    <row r="20" customFormat="false" ht="15" hidden="false" customHeight="false" outlineLevel="0" collapsed="false">
      <c r="A20" s="6" t="n">
        <v>19</v>
      </c>
      <c r="B20" s="6" t="s">
        <v>724</v>
      </c>
      <c r="C20" s="7" t="s">
        <v>774</v>
      </c>
      <c r="D20" s="7" t="s">
        <v>775</v>
      </c>
      <c r="E20" s="6" t="s">
        <v>727</v>
      </c>
    </row>
    <row r="21" customFormat="false" ht="15" hidden="false" customHeight="false" outlineLevel="0" collapsed="false">
      <c r="A21" s="6" t="n">
        <v>20</v>
      </c>
      <c r="B21" s="6" t="s">
        <v>759</v>
      </c>
      <c r="C21" s="7" t="s">
        <v>776</v>
      </c>
      <c r="D21" s="7" t="s">
        <v>777</v>
      </c>
      <c r="E21" s="6" t="s">
        <v>762</v>
      </c>
    </row>
    <row r="22" customFormat="false" ht="15" hidden="false" customHeight="false" outlineLevel="0" collapsed="false">
      <c r="A22" s="6" t="n">
        <v>21</v>
      </c>
      <c r="B22" s="6" t="s">
        <v>728</v>
      </c>
      <c r="C22" s="7" t="s">
        <v>778</v>
      </c>
      <c r="D22" s="7" t="s">
        <v>779</v>
      </c>
      <c r="E22" s="6" t="s">
        <v>723</v>
      </c>
    </row>
    <row r="23" customFormat="false" ht="15" hidden="false" customHeight="false" outlineLevel="0" collapsed="false">
      <c r="A23" s="6" t="n">
        <v>22</v>
      </c>
      <c r="B23" s="6" t="s">
        <v>780</v>
      </c>
      <c r="C23" s="7" t="s">
        <v>781</v>
      </c>
      <c r="D23" s="7" t="s">
        <v>782</v>
      </c>
      <c r="E23" s="6" t="s">
        <v>727</v>
      </c>
    </row>
    <row r="24" customFormat="false" ht="15" hidden="false" customHeight="false" outlineLevel="0" collapsed="false">
      <c r="A24" s="6" t="n">
        <v>23</v>
      </c>
      <c r="B24" s="6" t="s">
        <v>783</v>
      </c>
      <c r="C24" s="7" t="s">
        <v>784</v>
      </c>
      <c r="D24" s="7" t="s">
        <v>785</v>
      </c>
      <c r="E24" s="6" t="s">
        <v>786</v>
      </c>
    </row>
    <row r="25" customFormat="false" ht="15" hidden="false" customHeight="false" outlineLevel="0" collapsed="false">
      <c r="A25" s="6" t="n">
        <v>24</v>
      </c>
      <c r="B25" s="6" t="s">
        <v>763</v>
      </c>
      <c r="C25" s="7" t="s">
        <v>787</v>
      </c>
      <c r="D25" s="7" t="s">
        <v>788</v>
      </c>
      <c r="E25" s="6" t="s">
        <v>723</v>
      </c>
    </row>
    <row r="26" customFormat="false" ht="23.85" hidden="false" customHeight="false" outlineLevel="0" collapsed="false">
      <c r="A26" s="6" t="n">
        <v>25</v>
      </c>
      <c r="B26" s="6" t="s">
        <v>789</v>
      </c>
      <c r="C26" s="7" t="s">
        <v>790</v>
      </c>
      <c r="D26" s="7" t="s">
        <v>791</v>
      </c>
      <c r="E26" s="6" t="s">
        <v>723</v>
      </c>
    </row>
    <row r="27" customFormat="false" ht="15" hidden="false" customHeight="false" outlineLevel="0" collapsed="false">
      <c r="A27" s="6" t="n">
        <v>26</v>
      </c>
      <c r="B27" s="6" t="s">
        <v>741</v>
      </c>
      <c r="C27" s="7" t="s">
        <v>792</v>
      </c>
      <c r="D27" s="7" t="s">
        <v>793</v>
      </c>
      <c r="E27" s="6" t="s">
        <v>794</v>
      </c>
    </row>
    <row r="28" customFormat="false" ht="15" hidden="false" customHeight="false" outlineLevel="0" collapsed="false">
      <c r="A28" s="6" t="n">
        <v>27</v>
      </c>
      <c r="B28" s="6" t="s">
        <v>795</v>
      </c>
      <c r="C28" s="7" t="s">
        <v>796</v>
      </c>
      <c r="D28" s="7" t="s">
        <v>797</v>
      </c>
      <c r="E28" s="6" t="s">
        <v>723</v>
      </c>
    </row>
    <row r="29" customFormat="false" ht="23.85" hidden="false" customHeight="false" outlineLevel="0" collapsed="false">
      <c r="A29" s="6" t="n">
        <v>28</v>
      </c>
      <c r="B29" s="6" t="s">
        <v>746</v>
      </c>
      <c r="C29" s="7" t="s">
        <v>798</v>
      </c>
      <c r="D29" s="7" t="s">
        <v>799</v>
      </c>
      <c r="E29" s="6" t="s">
        <v>727</v>
      </c>
    </row>
    <row r="30" customFormat="false" ht="23.85" hidden="false" customHeight="false" outlineLevel="0" collapsed="false">
      <c r="A30" s="6" t="n">
        <v>29</v>
      </c>
      <c r="B30" s="6" t="s">
        <v>746</v>
      </c>
      <c r="C30" s="7" t="s">
        <v>800</v>
      </c>
      <c r="D30" s="7" t="s">
        <v>801</v>
      </c>
      <c r="E30" s="6" t="s">
        <v>727</v>
      </c>
    </row>
    <row r="31" customFormat="false" ht="15" hidden="false" customHeight="false" outlineLevel="0" collapsed="false">
      <c r="A31" s="6" t="n">
        <v>30</v>
      </c>
      <c r="B31" s="6" t="s">
        <v>763</v>
      </c>
      <c r="C31" s="7" t="s">
        <v>802</v>
      </c>
      <c r="D31" s="7" t="s">
        <v>803</v>
      </c>
      <c r="E31" s="6" t="s">
        <v>723</v>
      </c>
    </row>
    <row r="32" customFormat="false" ht="23.85" hidden="false" customHeight="false" outlineLevel="0" collapsed="false">
      <c r="A32" s="6" t="n">
        <v>31</v>
      </c>
      <c r="B32" s="6" t="s">
        <v>746</v>
      </c>
      <c r="C32" s="7" t="s">
        <v>245</v>
      </c>
      <c r="D32" s="7" t="s">
        <v>804</v>
      </c>
      <c r="E32" s="6" t="s">
        <v>727</v>
      </c>
    </row>
    <row r="33" customFormat="false" ht="23.85" hidden="false" customHeight="false" outlineLevel="0" collapsed="false">
      <c r="A33" s="6" t="n">
        <v>32</v>
      </c>
      <c r="B33" s="6" t="s">
        <v>805</v>
      </c>
      <c r="C33" s="7" t="s">
        <v>806</v>
      </c>
      <c r="D33" s="7" t="s">
        <v>807</v>
      </c>
      <c r="E33" s="6" t="s">
        <v>808</v>
      </c>
    </row>
    <row r="34" customFormat="false" ht="15" hidden="false" customHeight="false" outlineLevel="0" collapsed="false">
      <c r="A34" s="6" t="n">
        <v>33</v>
      </c>
      <c r="B34" s="6" t="s">
        <v>738</v>
      </c>
      <c r="C34" s="7" t="s">
        <v>809</v>
      </c>
      <c r="D34" s="7" t="s">
        <v>810</v>
      </c>
      <c r="E34" s="6" t="s">
        <v>727</v>
      </c>
    </row>
    <row r="35" customFormat="false" ht="23.85" hidden="false" customHeight="false" outlineLevel="0" collapsed="false">
      <c r="A35" s="6" t="n">
        <v>34</v>
      </c>
      <c r="B35" s="6" t="s">
        <v>746</v>
      </c>
      <c r="C35" s="7" t="s">
        <v>241</v>
      </c>
      <c r="D35" s="7" t="s">
        <v>811</v>
      </c>
      <c r="E35" s="6" t="s">
        <v>727</v>
      </c>
    </row>
    <row r="36" customFormat="false" ht="15" hidden="false" customHeight="false" outlineLevel="0" collapsed="false">
      <c r="A36" s="6" t="n">
        <v>35</v>
      </c>
      <c r="B36" s="6" t="s">
        <v>732</v>
      </c>
      <c r="C36" s="7" t="s">
        <v>812</v>
      </c>
      <c r="D36" s="7" t="s">
        <v>813</v>
      </c>
      <c r="E36" s="6" t="s">
        <v>727</v>
      </c>
    </row>
    <row r="37" customFormat="false" ht="15" hidden="false" customHeight="false" outlineLevel="0" collapsed="false">
      <c r="A37" s="6" t="n">
        <v>36</v>
      </c>
      <c r="B37" s="6" t="s">
        <v>814</v>
      </c>
      <c r="C37" s="7" t="s">
        <v>815</v>
      </c>
      <c r="D37" s="7" t="s">
        <v>816</v>
      </c>
      <c r="E37" s="6" t="s">
        <v>817</v>
      </c>
    </row>
    <row r="38" customFormat="false" ht="15" hidden="false" customHeight="false" outlineLevel="0" collapsed="false">
      <c r="A38" s="6" t="n">
        <v>37</v>
      </c>
      <c r="B38" s="6" t="s">
        <v>818</v>
      </c>
      <c r="C38" s="7" t="s">
        <v>270</v>
      </c>
      <c r="D38" s="7" t="s">
        <v>819</v>
      </c>
      <c r="E38" s="6" t="s">
        <v>820</v>
      </c>
    </row>
    <row r="39" customFormat="false" ht="23.85" hidden="false" customHeight="false" outlineLevel="0" collapsed="false">
      <c r="A39" s="6" t="n">
        <v>38</v>
      </c>
      <c r="B39" s="6" t="s">
        <v>746</v>
      </c>
      <c r="C39" s="7" t="s">
        <v>821</v>
      </c>
      <c r="D39" s="7" t="s">
        <v>822</v>
      </c>
      <c r="E39" s="6" t="s">
        <v>727</v>
      </c>
    </row>
    <row r="40" customFormat="false" ht="15" hidden="false" customHeight="false" outlineLevel="0" collapsed="false">
      <c r="A40" s="6" t="n">
        <v>39</v>
      </c>
      <c r="B40" s="6" t="s">
        <v>823</v>
      </c>
      <c r="C40" s="7" t="s">
        <v>278</v>
      </c>
      <c r="D40" s="7" t="s">
        <v>824</v>
      </c>
      <c r="E40" s="6" t="s">
        <v>727</v>
      </c>
    </row>
    <row r="41" customFormat="false" ht="15" hidden="false" customHeight="false" outlineLevel="0" collapsed="false">
      <c r="A41" s="6" t="n">
        <v>40</v>
      </c>
      <c r="B41" s="6" t="s">
        <v>732</v>
      </c>
      <c r="C41" s="7" t="s">
        <v>825</v>
      </c>
      <c r="D41" s="7" t="s">
        <v>826</v>
      </c>
      <c r="E41" s="6" t="s">
        <v>727</v>
      </c>
    </row>
    <row r="42" customFormat="false" ht="23.85" hidden="false" customHeight="false" outlineLevel="0" collapsed="false">
      <c r="A42" s="6" t="n">
        <v>41</v>
      </c>
      <c r="B42" s="6" t="s">
        <v>783</v>
      </c>
      <c r="C42" s="7" t="s">
        <v>827</v>
      </c>
      <c r="D42" s="7" t="s">
        <v>828</v>
      </c>
      <c r="E42" s="6" t="s">
        <v>786</v>
      </c>
    </row>
    <row r="43" customFormat="false" ht="15" hidden="false" customHeight="false" outlineLevel="0" collapsed="false">
      <c r="A43" s="6" t="n">
        <v>42</v>
      </c>
      <c r="B43" s="6" t="s">
        <v>746</v>
      </c>
      <c r="C43" s="7" t="s">
        <v>299</v>
      </c>
      <c r="D43" s="7" t="s">
        <v>829</v>
      </c>
      <c r="E43" s="6" t="s">
        <v>727</v>
      </c>
    </row>
    <row r="44" customFormat="false" ht="23.85" hidden="false" customHeight="false" outlineLevel="0" collapsed="false">
      <c r="A44" s="6" t="n">
        <v>43</v>
      </c>
      <c r="B44" s="6" t="s">
        <v>746</v>
      </c>
      <c r="C44" s="7" t="s">
        <v>295</v>
      </c>
      <c r="D44" s="7" t="s">
        <v>830</v>
      </c>
      <c r="E44" s="6" t="s">
        <v>727</v>
      </c>
    </row>
    <row r="45" customFormat="false" ht="15" hidden="false" customHeight="false" outlineLevel="0" collapsed="false">
      <c r="A45" s="6" t="n">
        <v>44</v>
      </c>
      <c r="B45" s="6" t="s">
        <v>741</v>
      </c>
      <c r="C45" s="7" t="s">
        <v>316</v>
      </c>
      <c r="D45" s="7" t="s">
        <v>831</v>
      </c>
      <c r="E45" s="6" t="s">
        <v>743</v>
      </c>
    </row>
    <row r="46" customFormat="false" ht="15" hidden="false" customHeight="false" outlineLevel="0" collapsed="false">
      <c r="A46" s="6" t="n">
        <v>45</v>
      </c>
      <c r="B46" s="6" t="s">
        <v>832</v>
      </c>
      <c r="C46" s="7" t="s">
        <v>833</v>
      </c>
      <c r="D46" s="7" t="s">
        <v>834</v>
      </c>
      <c r="E46" s="6" t="s">
        <v>835</v>
      </c>
    </row>
    <row r="47" customFormat="false" ht="23.85" hidden="false" customHeight="false" outlineLevel="0" collapsed="false">
      <c r="A47" s="6" t="n">
        <v>46</v>
      </c>
      <c r="B47" s="6" t="s">
        <v>746</v>
      </c>
      <c r="C47" s="7" t="s">
        <v>836</v>
      </c>
      <c r="D47" s="7" t="s">
        <v>837</v>
      </c>
      <c r="E47" s="6" t="s">
        <v>727</v>
      </c>
    </row>
    <row r="48" customFormat="false" ht="23.85" hidden="false" customHeight="false" outlineLevel="0" collapsed="false">
      <c r="A48" s="6" t="n">
        <v>47</v>
      </c>
      <c r="B48" s="6" t="s">
        <v>734</v>
      </c>
      <c r="C48" s="7" t="s">
        <v>838</v>
      </c>
      <c r="D48" s="7" t="s">
        <v>839</v>
      </c>
      <c r="E48" s="6" t="s">
        <v>840</v>
      </c>
    </row>
    <row r="49" customFormat="false" ht="15" hidden="false" customHeight="false" outlineLevel="0" collapsed="false">
      <c r="A49" s="6" t="n">
        <v>48</v>
      </c>
      <c r="B49" s="6" t="s">
        <v>732</v>
      </c>
      <c r="C49" s="7" t="s">
        <v>324</v>
      </c>
      <c r="D49" s="7" t="s">
        <v>841</v>
      </c>
      <c r="E49" s="6" t="s">
        <v>727</v>
      </c>
    </row>
    <row r="50" customFormat="false" ht="23.85" hidden="false" customHeight="false" outlineLevel="0" collapsed="false">
      <c r="A50" s="6" t="n">
        <v>49</v>
      </c>
      <c r="B50" s="6" t="s">
        <v>842</v>
      </c>
      <c r="C50" s="7" t="s">
        <v>843</v>
      </c>
      <c r="D50" s="7" t="s">
        <v>844</v>
      </c>
      <c r="E50" s="6" t="s">
        <v>845</v>
      </c>
    </row>
    <row r="51" customFormat="false" ht="23.85" hidden="false" customHeight="false" outlineLevel="0" collapsed="false">
      <c r="A51" s="6" t="n">
        <v>50</v>
      </c>
      <c r="B51" s="6" t="s">
        <v>746</v>
      </c>
      <c r="C51" s="7" t="s">
        <v>846</v>
      </c>
      <c r="D51" s="7" t="s">
        <v>847</v>
      </c>
      <c r="E51" s="6" t="s">
        <v>727</v>
      </c>
    </row>
    <row r="52" customFormat="false" ht="15" hidden="false" customHeight="false" outlineLevel="0" collapsed="false">
      <c r="A52" s="6" t="n">
        <v>51</v>
      </c>
      <c r="B52" s="6" t="s">
        <v>732</v>
      </c>
      <c r="C52" s="7" t="s">
        <v>352</v>
      </c>
      <c r="D52" s="7" t="s">
        <v>848</v>
      </c>
      <c r="E52" s="6" t="s">
        <v>727</v>
      </c>
    </row>
    <row r="53" customFormat="false" ht="15" hidden="false" customHeight="false" outlineLevel="0" collapsed="false">
      <c r="A53" s="6" t="n">
        <v>52</v>
      </c>
      <c r="B53" s="6" t="s">
        <v>732</v>
      </c>
      <c r="C53" s="7" t="s">
        <v>551</v>
      </c>
      <c r="D53" s="7" t="s">
        <v>849</v>
      </c>
      <c r="E53" s="6" t="s">
        <v>727</v>
      </c>
    </row>
    <row r="54" customFormat="false" ht="15" hidden="false" customHeight="false" outlineLevel="0" collapsed="false">
      <c r="A54" s="6" t="n">
        <v>53</v>
      </c>
      <c r="B54" s="6" t="s">
        <v>732</v>
      </c>
      <c r="C54" s="7" t="s">
        <v>368</v>
      </c>
      <c r="D54" s="7" t="s">
        <v>850</v>
      </c>
      <c r="E54" s="6" t="s">
        <v>727</v>
      </c>
    </row>
    <row r="55" customFormat="false" ht="15" hidden="false" customHeight="false" outlineLevel="0" collapsed="false">
      <c r="A55" s="6" t="n">
        <v>54</v>
      </c>
      <c r="B55" s="6" t="s">
        <v>732</v>
      </c>
      <c r="C55" s="7" t="s">
        <v>385</v>
      </c>
      <c r="D55" s="7" t="s">
        <v>851</v>
      </c>
      <c r="E55" s="6" t="s">
        <v>727</v>
      </c>
    </row>
    <row r="56" customFormat="false" ht="15" hidden="false" customHeight="false" outlineLevel="0" collapsed="false">
      <c r="A56" s="6" t="n">
        <v>55</v>
      </c>
      <c r="B56" s="6" t="s">
        <v>732</v>
      </c>
      <c r="C56" s="7" t="s">
        <v>393</v>
      </c>
      <c r="D56" s="7" t="s">
        <v>852</v>
      </c>
      <c r="E56" s="6" t="s">
        <v>727</v>
      </c>
    </row>
    <row r="57" customFormat="false" ht="15" hidden="false" customHeight="false" outlineLevel="0" collapsed="false">
      <c r="A57" s="6" t="n">
        <v>56</v>
      </c>
      <c r="B57" s="6" t="s">
        <v>732</v>
      </c>
      <c r="C57" s="7" t="s">
        <v>397</v>
      </c>
      <c r="D57" s="7" t="s">
        <v>853</v>
      </c>
      <c r="E57" s="6" t="s">
        <v>727</v>
      </c>
    </row>
    <row r="58" customFormat="false" ht="15" hidden="false" customHeight="false" outlineLevel="0" collapsed="false">
      <c r="A58" s="6" t="n">
        <v>57</v>
      </c>
      <c r="B58" s="6" t="s">
        <v>732</v>
      </c>
      <c r="C58" s="7" t="s">
        <v>531</v>
      </c>
      <c r="D58" s="7" t="s">
        <v>854</v>
      </c>
      <c r="E58" s="6" t="s">
        <v>727</v>
      </c>
    </row>
    <row r="59" customFormat="false" ht="15" hidden="false" customHeight="false" outlineLevel="0" collapsed="false">
      <c r="A59" s="6" t="n">
        <v>58</v>
      </c>
      <c r="B59" s="6" t="s">
        <v>732</v>
      </c>
      <c r="C59" s="7" t="s">
        <v>855</v>
      </c>
      <c r="D59" s="7" t="s">
        <v>856</v>
      </c>
      <c r="E59" s="6" t="s">
        <v>727</v>
      </c>
    </row>
    <row r="60" customFormat="false" ht="15" hidden="false" customHeight="false" outlineLevel="0" collapsed="false">
      <c r="A60" s="6" t="n">
        <v>59</v>
      </c>
      <c r="B60" s="6" t="s">
        <v>732</v>
      </c>
      <c r="C60" s="7" t="s">
        <v>857</v>
      </c>
      <c r="D60" s="7" t="s">
        <v>858</v>
      </c>
      <c r="E60" s="6" t="s">
        <v>727</v>
      </c>
    </row>
    <row r="61" customFormat="false" ht="15" hidden="false" customHeight="false" outlineLevel="0" collapsed="false">
      <c r="A61" s="6" t="n">
        <v>60</v>
      </c>
      <c r="B61" s="6" t="s">
        <v>732</v>
      </c>
      <c r="C61" s="7" t="s">
        <v>552</v>
      </c>
      <c r="D61" s="7" t="s">
        <v>859</v>
      </c>
      <c r="E61" s="6" t="s">
        <v>727</v>
      </c>
    </row>
    <row r="62" customFormat="false" ht="23.85" hidden="false" customHeight="false" outlineLevel="0" collapsed="false">
      <c r="A62" s="6" t="n">
        <v>61</v>
      </c>
      <c r="B62" s="6" t="s">
        <v>860</v>
      </c>
      <c r="C62" s="7" t="s">
        <v>861</v>
      </c>
      <c r="D62" s="7" t="s">
        <v>862</v>
      </c>
      <c r="E62" s="6" t="s">
        <v>863</v>
      </c>
    </row>
    <row r="63" customFormat="false" ht="23.85" hidden="false" customHeight="false" outlineLevel="0" collapsed="false">
      <c r="A63" s="6" t="n">
        <v>62</v>
      </c>
      <c r="B63" s="6" t="s">
        <v>783</v>
      </c>
      <c r="C63" s="7" t="s">
        <v>864</v>
      </c>
      <c r="D63" s="7" t="s">
        <v>865</v>
      </c>
      <c r="E63" s="6" t="s">
        <v>786</v>
      </c>
    </row>
    <row r="64" customFormat="false" ht="15" hidden="false" customHeight="false" outlineLevel="0" collapsed="false">
      <c r="A64" s="6" t="n">
        <v>63</v>
      </c>
      <c r="B64" s="6" t="s">
        <v>732</v>
      </c>
      <c r="C64" s="7" t="s">
        <v>344</v>
      </c>
      <c r="D64" s="7" t="s">
        <v>866</v>
      </c>
      <c r="E64" s="6" t="s">
        <v>727</v>
      </c>
    </row>
    <row r="65" customFormat="false" ht="15" hidden="false" customHeight="false" outlineLevel="0" collapsed="false">
      <c r="A65" s="6" t="n">
        <v>64</v>
      </c>
      <c r="B65" s="6" t="s">
        <v>732</v>
      </c>
      <c r="C65" s="7" t="s">
        <v>336</v>
      </c>
      <c r="D65" s="7" t="s">
        <v>867</v>
      </c>
      <c r="E65" s="6" t="s">
        <v>727</v>
      </c>
    </row>
    <row r="66" customFormat="false" ht="15" hidden="false" customHeight="false" outlineLevel="0" collapsed="false">
      <c r="A66" s="6" t="n">
        <v>65</v>
      </c>
      <c r="B66" s="6" t="s">
        <v>732</v>
      </c>
      <c r="C66" s="7" t="s">
        <v>356</v>
      </c>
      <c r="D66" s="7" t="s">
        <v>868</v>
      </c>
      <c r="E66" s="6" t="s">
        <v>727</v>
      </c>
    </row>
    <row r="67" customFormat="false" ht="15" hidden="false" customHeight="false" outlineLevel="0" collapsed="false">
      <c r="A67" s="6" t="n">
        <v>66</v>
      </c>
      <c r="B67" s="6" t="s">
        <v>732</v>
      </c>
      <c r="C67" s="7" t="s">
        <v>869</v>
      </c>
      <c r="D67" s="7" t="s">
        <v>870</v>
      </c>
      <c r="E67" s="6" t="s">
        <v>727</v>
      </c>
    </row>
    <row r="68" customFormat="false" ht="15" hidden="false" customHeight="false" outlineLevel="0" collapsed="false">
      <c r="A68" s="6" t="n">
        <v>67</v>
      </c>
      <c r="B68" s="6" t="s">
        <v>732</v>
      </c>
      <c r="C68" s="7" t="s">
        <v>360</v>
      </c>
      <c r="D68" s="7" t="s">
        <v>871</v>
      </c>
      <c r="E68" s="6" t="s">
        <v>727</v>
      </c>
    </row>
    <row r="69" customFormat="false" ht="15" hidden="false" customHeight="false" outlineLevel="0" collapsed="false">
      <c r="A69" s="6" t="n">
        <v>68</v>
      </c>
      <c r="B69" s="6" t="s">
        <v>783</v>
      </c>
      <c r="C69" s="7" t="s">
        <v>872</v>
      </c>
      <c r="D69" s="7" t="s">
        <v>873</v>
      </c>
      <c r="E69" s="6" t="s">
        <v>786</v>
      </c>
    </row>
    <row r="70" customFormat="false" ht="15" hidden="false" customHeight="false" outlineLevel="0" collapsed="false">
      <c r="A70" s="6" t="n">
        <v>69</v>
      </c>
      <c r="B70" s="6" t="s">
        <v>732</v>
      </c>
      <c r="C70" s="7" t="s">
        <v>401</v>
      </c>
      <c r="D70" s="7" t="s">
        <v>874</v>
      </c>
      <c r="E70" s="6" t="s">
        <v>727</v>
      </c>
    </row>
    <row r="71" customFormat="false" ht="15" hidden="false" customHeight="false" outlineLevel="0" collapsed="false">
      <c r="A71" s="6" t="n">
        <v>70</v>
      </c>
      <c r="B71" s="6" t="s">
        <v>783</v>
      </c>
      <c r="C71" s="7" t="s">
        <v>875</v>
      </c>
      <c r="D71" s="7" t="s">
        <v>876</v>
      </c>
      <c r="E71" s="6" t="s">
        <v>786</v>
      </c>
    </row>
    <row r="72" customFormat="false" ht="15" hidden="false" customHeight="false" outlineLevel="0" collapsed="false">
      <c r="A72" s="6" t="n">
        <v>71</v>
      </c>
      <c r="B72" s="6" t="s">
        <v>732</v>
      </c>
      <c r="C72" s="7" t="s">
        <v>405</v>
      </c>
      <c r="D72" s="7" t="s">
        <v>877</v>
      </c>
      <c r="E72" s="6" t="s">
        <v>727</v>
      </c>
    </row>
    <row r="73" customFormat="false" ht="15" hidden="false" customHeight="false" outlineLevel="0" collapsed="false">
      <c r="A73" s="6" t="n">
        <v>72</v>
      </c>
      <c r="B73" s="6" t="s">
        <v>732</v>
      </c>
      <c r="C73" s="7" t="s">
        <v>364</v>
      </c>
      <c r="D73" s="7" t="s">
        <v>878</v>
      </c>
      <c r="E73" s="6" t="s">
        <v>727</v>
      </c>
    </row>
    <row r="74" customFormat="false" ht="15" hidden="false" customHeight="false" outlineLevel="0" collapsed="false">
      <c r="A74" s="6" t="n">
        <v>73</v>
      </c>
      <c r="B74" s="6" t="s">
        <v>732</v>
      </c>
      <c r="C74" s="7" t="s">
        <v>879</v>
      </c>
      <c r="D74" s="7" t="s">
        <v>880</v>
      </c>
      <c r="E74" s="6" t="s">
        <v>727</v>
      </c>
    </row>
    <row r="75" customFormat="false" ht="23.85" hidden="false" customHeight="false" outlineLevel="0" collapsed="false">
      <c r="A75" s="6" t="n">
        <v>74</v>
      </c>
      <c r="B75" s="6" t="s">
        <v>881</v>
      </c>
      <c r="C75" s="7" t="s">
        <v>882</v>
      </c>
      <c r="D75" s="7" t="s">
        <v>883</v>
      </c>
      <c r="E75" s="6" t="s">
        <v>884</v>
      </c>
    </row>
    <row r="76" customFormat="false" ht="15" hidden="false" customHeight="false" outlineLevel="0" collapsed="false">
      <c r="A76" s="6" t="n">
        <v>75</v>
      </c>
      <c r="B76" s="6" t="s">
        <v>783</v>
      </c>
      <c r="C76" s="7" t="s">
        <v>885</v>
      </c>
      <c r="D76" s="7" t="s">
        <v>886</v>
      </c>
      <c r="E76" s="6" t="s">
        <v>786</v>
      </c>
    </row>
    <row r="77" customFormat="false" ht="23.85" hidden="false" customHeight="false" outlineLevel="0" collapsed="false">
      <c r="A77" s="6" t="n">
        <v>76</v>
      </c>
      <c r="B77" s="6" t="s">
        <v>887</v>
      </c>
      <c r="C77" s="7" t="s">
        <v>888</v>
      </c>
      <c r="D77" s="7" t="s">
        <v>889</v>
      </c>
      <c r="E77" s="6" t="s">
        <v>884</v>
      </c>
    </row>
    <row r="78" customFormat="false" ht="23.85" hidden="false" customHeight="false" outlineLevel="0" collapsed="false">
      <c r="A78" s="6" t="n">
        <v>77</v>
      </c>
      <c r="B78" s="6" t="s">
        <v>890</v>
      </c>
      <c r="C78" s="7" t="s">
        <v>891</v>
      </c>
      <c r="D78" s="7" t="s">
        <v>892</v>
      </c>
      <c r="E78" s="6" t="s">
        <v>893</v>
      </c>
    </row>
    <row r="79" customFormat="false" ht="15" hidden="false" customHeight="false" outlineLevel="0" collapsed="false">
      <c r="A79" s="6" t="n">
        <v>78</v>
      </c>
      <c r="B79" s="6" t="s">
        <v>732</v>
      </c>
      <c r="C79" s="7" t="s">
        <v>894</v>
      </c>
      <c r="D79" s="7" t="s">
        <v>895</v>
      </c>
      <c r="E79" s="6" t="s">
        <v>727</v>
      </c>
    </row>
    <row r="80" customFormat="false" ht="23.85" hidden="false" customHeight="false" outlineLevel="0" collapsed="false">
      <c r="A80" s="6" t="n">
        <v>79</v>
      </c>
      <c r="B80" s="6" t="s">
        <v>746</v>
      </c>
      <c r="C80" s="7" t="s">
        <v>896</v>
      </c>
      <c r="D80" s="7" t="s">
        <v>897</v>
      </c>
      <c r="E80" s="6" t="s">
        <v>723</v>
      </c>
    </row>
    <row r="81" customFormat="false" ht="15" hidden="false" customHeight="false" outlineLevel="0" collapsed="false">
      <c r="A81" s="6" t="n">
        <v>80</v>
      </c>
      <c r="B81" s="6" t="s">
        <v>732</v>
      </c>
      <c r="C81" s="7" t="s">
        <v>466</v>
      </c>
      <c r="D81" s="7" t="s">
        <v>898</v>
      </c>
      <c r="E81" s="6" t="s">
        <v>727</v>
      </c>
    </row>
    <row r="82" customFormat="false" ht="23.85" hidden="false" customHeight="false" outlineLevel="0" collapsed="false">
      <c r="A82" s="6" t="n">
        <v>81</v>
      </c>
      <c r="B82" s="6" t="s">
        <v>746</v>
      </c>
      <c r="C82" s="7" t="s">
        <v>899</v>
      </c>
      <c r="D82" s="7" t="s">
        <v>900</v>
      </c>
      <c r="E82" s="6" t="s">
        <v>727</v>
      </c>
    </row>
    <row r="83" customFormat="false" ht="15" hidden="false" customHeight="false" outlineLevel="0" collapsed="false">
      <c r="A83" s="6" t="n">
        <v>82</v>
      </c>
      <c r="B83" s="6" t="s">
        <v>732</v>
      </c>
      <c r="C83" s="7" t="s">
        <v>901</v>
      </c>
      <c r="D83" s="7" t="s">
        <v>902</v>
      </c>
      <c r="E83" s="6" t="s">
        <v>727</v>
      </c>
    </row>
    <row r="84" customFormat="false" ht="15" hidden="false" customHeight="false" outlineLevel="0" collapsed="false">
      <c r="A84" s="6" t="n">
        <v>83</v>
      </c>
      <c r="B84" s="6" t="s">
        <v>732</v>
      </c>
      <c r="C84" s="7" t="s">
        <v>903</v>
      </c>
      <c r="D84" s="7" t="s">
        <v>904</v>
      </c>
      <c r="E84" s="6" t="s">
        <v>727</v>
      </c>
    </row>
    <row r="85" customFormat="false" ht="15" hidden="false" customHeight="false" outlineLevel="0" collapsed="false">
      <c r="A85" s="6" t="n">
        <v>84</v>
      </c>
      <c r="B85" s="6" t="s">
        <v>732</v>
      </c>
      <c r="C85" s="7" t="s">
        <v>905</v>
      </c>
      <c r="D85" s="7" t="s">
        <v>906</v>
      </c>
      <c r="E85" s="6" t="s">
        <v>727</v>
      </c>
    </row>
    <row r="86" customFormat="false" ht="15" hidden="false" customHeight="false" outlineLevel="0" collapsed="false">
      <c r="A86" s="6" t="n">
        <v>85</v>
      </c>
      <c r="B86" s="6" t="s">
        <v>732</v>
      </c>
      <c r="C86" s="7" t="s">
        <v>907</v>
      </c>
      <c r="D86" s="7" t="s">
        <v>908</v>
      </c>
      <c r="E86" s="6" t="s">
        <v>909</v>
      </c>
    </row>
    <row r="87" customFormat="false" ht="15" hidden="false" customHeight="false" outlineLevel="0" collapsed="false">
      <c r="A87" s="6" t="n">
        <v>86</v>
      </c>
      <c r="B87" s="6" t="s">
        <v>732</v>
      </c>
      <c r="C87" s="7" t="s">
        <v>174</v>
      </c>
      <c r="D87" s="7" t="s">
        <v>910</v>
      </c>
      <c r="E87" s="6" t="s">
        <v>727</v>
      </c>
    </row>
    <row r="88" customFormat="false" ht="15" hidden="false" customHeight="false" outlineLevel="0" collapsed="false">
      <c r="A88" s="6" t="n">
        <v>87</v>
      </c>
      <c r="B88" s="6" t="s">
        <v>732</v>
      </c>
      <c r="C88" s="7" t="s">
        <v>911</v>
      </c>
      <c r="D88" s="7" t="s">
        <v>912</v>
      </c>
      <c r="E88" s="6" t="s">
        <v>727</v>
      </c>
    </row>
    <row r="89" customFormat="false" ht="15" hidden="false" customHeight="false" outlineLevel="0" collapsed="false">
      <c r="A89" s="6" t="n">
        <v>88</v>
      </c>
      <c r="B89" s="6" t="s">
        <v>783</v>
      </c>
      <c r="C89" s="7" t="s">
        <v>913</v>
      </c>
      <c r="D89" s="7" t="s">
        <v>914</v>
      </c>
      <c r="E89" s="6" t="s">
        <v>786</v>
      </c>
    </row>
    <row r="90" customFormat="false" ht="15" hidden="false" customHeight="false" outlineLevel="0" collapsed="false">
      <c r="A90" s="6" t="n">
        <v>89</v>
      </c>
      <c r="B90" s="6" t="s">
        <v>732</v>
      </c>
      <c r="C90" s="7" t="s">
        <v>915</v>
      </c>
      <c r="D90" s="7" t="s">
        <v>916</v>
      </c>
      <c r="E90" s="6" t="s">
        <v>727</v>
      </c>
    </row>
    <row r="91" customFormat="false" ht="15" hidden="false" customHeight="false" outlineLevel="0" collapsed="false">
      <c r="A91" s="6" t="n">
        <v>90</v>
      </c>
      <c r="B91" s="6" t="s">
        <v>732</v>
      </c>
      <c r="C91" s="7" t="s">
        <v>223</v>
      </c>
      <c r="D91" s="7" t="s">
        <v>917</v>
      </c>
      <c r="E91" s="6" t="s">
        <v>727</v>
      </c>
    </row>
    <row r="92" customFormat="false" ht="15" hidden="false" customHeight="false" outlineLevel="0" collapsed="false">
      <c r="A92" s="6" t="n">
        <v>91</v>
      </c>
      <c r="B92" s="6" t="s">
        <v>732</v>
      </c>
      <c r="C92" s="7" t="s">
        <v>227</v>
      </c>
      <c r="D92" s="7" t="s">
        <v>918</v>
      </c>
      <c r="E92" s="6" t="s">
        <v>727</v>
      </c>
    </row>
    <row r="93" customFormat="false" ht="15" hidden="false" customHeight="false" outlineLevel="0" collapsed="false">
      <c r="A93" s="6" t="n">
        <v>92</v>
      </c>
      <c r="B93" s="6" t="s">
        <v>732</v>
      </c>
      <c r="C93" s="7" t="s">
        <v>919</v>
      </c>
      <c r="D93" s="7" t="s">
        <v>920</v>
      </c>
      <c r="E93" s="6" t="s">
        <v>727</v>
      </c>
    </row>
    <row r="94" customFormat="false" ht="15" hidden="false" customHeight="false" outlineLevel="0" collapsed="false">
      <c r="A94" s="6" t="n">
        <v>93</v>
      </c>
      <c r="B94" s="6" t="s">
        <v>732</v>
      </c>
      <c r="C94" s="7" t="s">
        <v>250</v>
      </c>
      <c r="D94" s="7" t="s">
        <v>921</v>
      </c>
      <c r="E94" s="6" t="s">
        <v>727</v>
      </c>
    </row>
    <row r="95" customFormat="false" ht="15" hidden="false" customHeight="false" outlineLevel="0" collapsed="false">
      <c r="A95" s="6" t="n">
        <v>94</v>
      </c>
      <c r="B95" s="6" t="s">
        <v>732</v>
      </c>
      <c r="C95" s="7" t="s">
        <v>922</v>
      </c>
      <c r="D95" s="7" t="s">
        <v>923</v>
      </c>
      <c r="E95" s="6" t="s">
        <v>727</v>
      </c>
    </row>
    <row r="96" customFormat="false" ht="15" hidden="false" customHeight="false" outlineLevel="0" collapsed="false">
      <c r="A96" s="6" t="n">
        <v>95</v>
      </c>
      <c r="B96" s="6" t="s">
        <v>732</v>
      </c>
      <c r="C96" s="7" t="s">
        <v>924</v>
      </c>
      <c r="D96" s="7" t="s">
        <v>925</v>
      </c>
      <c r="E96" s="6" t="s">
        <v>727</v>
      </c>
    </row>
    <row r="97" customFormat="false" ht="15" hidden="false" customHeight="false" outlineLevel="0" collapsed="false">
      <c r="A97" s="6" t="n">
        <v>96</v>
      </c>
      <c r="B97" s="6" t="s">
        <v>732</v>
      </c>
      <c r="C97" s="7" t="s">
        <v>265</v>
      </c>
      <c r="D97" s="7" t="s">
        <v>926</v>
      </c>
      <c r="E97" s="6" t="s">
        <v>727</v>
      </c>
    </row>
    <row r="98" customFormat="false" ht="23.85" hidden="false" customHeight="false" outlineLevel="0" collapsed="false">
      <c r="A98" s="6" t="n">
        <v>97</v>
      </c>
      <c r="B98" s="6" t="s">
        <v>746</v>
      </c>
      <c r="C98" s="7" t="s">
        <v>927</v>
      </c>
      <c r="D98" s="7" t="s">
        <v>928</v>
      </c>
      <c r="E98" s="6" t="s">
        <v>727</v>
      </c>
    </row>
    <row r="99" customFormat="false" ht="23.85" hidden="false" customHeight="false" outlineLevel="0" collapsed="false">
      <c r="A99" s="6" t="n">
        <v>98</v>
      </c>
      <c r="B99" s="6" t="s">
        <v>746</v>
      </c>
      <c r="C99" s="7" t="s">
        <v>929</v>
      </c>
      <c r="D99" s="7" t="s">
        <v>930</v>
      </c>
      <c r="E99" s="6" t="s">
        <v>727</v>
      </c>
    </row>
    <row r="100" customFormat="false" ht="15" hidden="false" customHeight="false" outlineLevel="0" collapsed="false">
      <c r="A100" s="6" t="n">
        <v>99</v>
      </c>
      <c r="B100" s="6" t="s">
        <v>732</v>
      </c>
      <c r="C100" s="7" t="s">
        <v>931</v>
      </c>
      <c r="D100" s="7" t="s">
        <v>932</v>
      </c>
      <c r="E100" s="6" t="s">
        <v>727</v>
      </c>
    </row>
    <row r="101" customFormat="false" ht="15" hidden="false" customHeight="false" outlineLevel="0" collapsed="false">
      <c r="A101" s="6" t="n">
        <v>100</v>
      </c>
      <c r="B101" s="6" t="s">
        <v>732</v>
      </c>
      <c r="C101" s="7" t="s">
        <v>933</v>
      </c>
      <c r="D101" s="7" t="s">
        <v>934</v>
      </c>
      <c r="E101" s="6" t="s">
        <v>727</v>
      </c>
    </row>
  </sheetData>
  <autoFilter ref="A1:E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H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4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38"/>
    <col collapsed="false" customWidth="true" hidden="false" outlineLevel="0" max="7" min="7" style="0" width="16"/>
  </cols>
  <sheetData>
    <row r="1" customFormat="false" ht="31.5" hidden="false" customHeight="true" outlineLevel="0" collapsed="false">
      <c r="A1" s="4" t="s">
        <v>422</v>
      </c>
      <c r="B1" s="5" t="s">
        <v>22</v>
      </c>
      <c r="C1" s="5" t="s">
        <v>935</v>
      </c>
      <c r="D1" s="5" t="s">
        <v>936</v>
      </c>
      <c r="E1" s="5" t="s">
        <v>937</v>
      </c>
      <c r="G1" s="10" t="s">
        <v>938</v>
      </c>
    </row>
    <row r="2" customFormat="false" ht="15" hidden="false" customHeight="false" outlineLevel="0" collapsed="false">
      <c r="A2" s="6" t="n">
        <v>1</v>
      </c>
      <c r="B2" s="9" t="str">
        <f aca="false">IFERROR(INDEX(exercicio!$B$2:$B$190,MATCH(A2,exercicio!$A$2:$A$190,0)),"")</f>
        <v>Supino Reto com Barra</v>
      </c>
      <c r="C2" s="9" t="n">
        <f aca="false">COUNTIF(exercicio_alternativo!$A$2:$A$400,A2)</f>
        <v>4</v>
      </c>
      <c r="D2" s="9" t="n">
        <f aca="false">SUMPRODUCT((exercicio_alternativo!$A$2:$A$400=A2)*(exercicio_alternativo!$G$2:$G$400=TRUE()))</f>
        <v>1</v>
      </c>
      <c r="E2" s="11" t="str">
        <f aca="false">IF(AND(C2&gt;=2,C2&lt;=4,D2&gt;=1),"OK",IF(AND(C2&gt;=2,C2&lt;=4),"FALTA ALTERNATIVA SEM EQUIPAMENTO","FORA DE 2 A 4 ALTERNATIVAS"))</f>
        <v>OK</v>
      </c>
      <c r="G2" s="12" t="s">
        <v>939</v>
      </c>
      <c r="H2" s="12" t="n">
        <f aca="false">COUNTIF(E2:E90,"OK")</f>
        <v>88</v>
      </c>
    </row>
    <row r="3" customFormat="false" ht="15" hidden="false" customHeight="false" outlineLevel="0" collapsed="false">
      <c r="A3" s="6" t="n">
        <v>2</v>
      </c>
      <c r="B3" s="9" t="str">
        <f aca="false">IFERROR(INDEX(exercicio!$B$2:$B$190,MATCH(A3,exercicio!$A$2:$A$190,0)),"")</f>
        <v>Supino Inclinado com Halteres</v>
      </c>
      <c r="C3" s="9" t="n">
        <f aca="false">COUNTIF(exercicio_alternativo!$A$2:$A$400,A3)</f>
        <v>4</v>
      </c>
      <c r="D3" s="9" t="n">
        <f aca="false">SUMPRODUCT((exercicio_alternativo!$A$2:$A$400=A3)*(exercicio_alternativo!$G$2:$G$400=TRUE()))</f>
        <v>1</v>
      </c>
      <c r="E3" s="11" t="str">
        <f aca="false">IF(AND(C3&gt;=2,C3&lt;=4,D3&gt;=1),"OK",IF(AND(C3&gt;=2,C3&lt;=4),"FALTA ALTERNATIVA SEM EQUIPAMENTO","FORA DE 2 A 4 ALTERNATIVAS"))</f>
        <v>OK</v>
      </c>
      <c r="G3" s="12" t="s">
        <v>940</v>
      </c>
      <c r="H3" s="12" t="n">
        <f aca="false">COUNTA(A2:A90)</f>
        <v>89</v>
      </c>
    </row>
    <row r="4" customFormat="false" ht="15" hidden="false" customHeight="false" outlineLevel="0" collapsed="false">
      <c r="A4" s="6" t="n">
        <v>3</v>
      </c>
      <c r="B4" s="9" t="str">
        <f aca="false">IFERROR(INDEX(exercicio!$B$2:$B$190,MATCH(A4,exercicio!$A$2:$A$190,0)),"")</f>
        <v>Voador Peitoral</v>
      </c>
      <c r="C4" s="9" t="n">
        <f aca="false">COUNTIF(exercicio_alternativo!$A$2:$A$400,A4)</f>
        <v>3</v>
      </c>
      <c r="D4" s="9" t="n">
        <f aca="false">SUMPRODUCT((exercicio_alternativo!$A$2:$A$400=A4)*(exercicio_alternativo!$G$2:$G$400=TRUE()))</f>
        <v>1</v>
      </c>
      <c r="E4" s="11" t="str">
        <f aca="false">IF(AND(C4&gt;=2,C4&lt;=4,D4&gt;=1),"OK",IF(AND(C4&gt;=2,C4&lt;=4),"FALTA ALTERNATIVA SEM EQUIPAMENTO","FORA DE 2 A 4 ALTERNATIVAS"))</f>
        <v>OK</v>
      </c>
    </row>
    <row r="5" customFormat="false" ht="15" hidden="false" customHeight="false" outlineLevel="0" collapsed="false">
      <c r="A5" s="6" t="n">
        <v>4</v>
      </c>
      <c r="B5" s="9" t="str">
        <f aca="false">IFERROR(INDEX(exercicio!$B$2:$B$190,MATCH(A5,exercicio!$A$2:$A$190,0)),"")</f>
        <v>Flexão de Braço</v>
      </c>
      <c r="C5" s="9" t="n">
        <f aca="false">COUNTIF(exercicio_alternativo!$A$2:$A$400,A5)</f>
        <v>4</v>
      </c>
      <c r="D5" s="9" t="n">
        <f aca="false">SUMPRODUCT((exercicio_alternativo!$A$2:$A$400=A5)*(exercicio_alternativo!$G$2:$G$400=TRUE()))</f>
        <v>2</v>
      </c>
      <c r="E5" s="11" t="str">
        <f aca="false">IF(AND(C5&gt;=2,C5&lt;=4,D5&gt;=1),"OK",IF(AND(C5&gt;=2,C5&lt;=4),"FALTA ALTERNATIVA SEM EQUIPAMENTO","FORA DE 2 A 4 ALTERNATIVAS"))</f>
        <v>OK</v>
      </c>
    </row>
    <row r="6" customFormat="false" ht="15" hidden="false" customHeight="false" outlineLevel="0" collapsed="false">
      <c r="A6" s="6" t="n">
        <v>5</v>
      </c>
      <c r="B6" s="9" t="str">
        <f aca="false">IFERROR(INDEX(exercicio!$B$2:$B$190,MATCH(A6,exercicio!$A$2:$A$190,0)),"")</f>
        <v>Flexão com Apoio Afastado</v>
      </c>
      <c r="C6" s="9" t="n">
        <f aca="false">COUNTIF(exercicio_alternativo!$A$2:$A$400,A6)</f>
        <v>4</v>
      </c>
      <c r="D6" s="9" t="n">
        <f aca="false">SUMPRODUCT((exercicio_alternativo!$A$2:$A$400=A6)*(exercicio_alternativo!$G$2:$G$400=TRUE()))</f>
        <v>2</v>
      </c>
      <c r="E6" s="11" t="str">
        <f aca="false">IF(AND(C6&gt;=2,C6&lt;=4,D6&gt;=1),"OK",IF(AND(C6&gt;=2,C6&lt;=4),"FALTA ALTERNATIVA SEM EQUIPAMENTO","FORA DE 2 A 4 ALTERNATIVAS"))</f>
        <v>OK</v>
      </c>
    </row>
    <row r="7" customFormat="false" ht="15" hidden="false" customHeight="false" outlineLevel="0" collapsed="false">
      <c r="A7" s="6" t="n">
        <v>6</v>
      </c>
      <c r="B7" s="9" t="str">
        <f aca="false">IFERROR(INDEX(exercicio!$B$2:$B$190,MATCH(A7,exercicio!$A$2:$A$190,0)),"")</f>
        <v>Flexão com Pés Elevados</v>
      </c>
      <c r="C7" s="9" t="n">
        <f aca="false">COUNTIF(exercicio_alternativo!$A$2:$A$400,A7)</f>
        <v>4</v>
      </c>
      <c r="D7" s="9" t="n">
        <f aca="false">SUMPRODUCT((exercicio_alternativo!$A$2:$A$400=A7)*(exercicio_alternativo!$G$2:$G$400=TRUE()))</f>
        <v>2</v>
      </c>
      <c r="E7" s="11" t="str">
        <f aca="false">IF(AND(C7&gt;=2,C7&lt;=4,D7&gt;=1),"OK",IF(AND(C7&gt;=2,C7&lt;=4),"FALTA ALTERNATIVA SEM EQUIPAMENTO","FORA DE 2 A 4 ALTERNATIVAS"))</f>
        <v>OK</v>
      </c>
    </row>
    <row r="8" customFormat="false" ht="15" hidden="false" customHeight="false" outlineLevel="0" collapsed="false">
      <c r="A8" s="6" t="n">
        <v>7</v>
      </c>
      <c r="B8" s="9" t="str">
        <f aca="false">IFERROR(INDEX(exercicio!$B$2:$B$190,MATCH(A8,exercicio!$A$2:$A$190,0)),"")</f>
        <v>Mergulho em Paralelas</v>
      </c>
      <c r="C8" s="9" t="n">
        <f aca="false">COUNTIF(exercicio_alternativo!$A$2:$A$400,A8)</f>
        <v>3</v>
      </c>
      <c r="D8" s="9" t="n">
        <f aca="false">SUMPRODUCT((exercicio_alternativo!$A$2:$A$400=A8)*(exercicio_alternativo!$G$2:$G$400=TRUE()))</f>
        <v>2</v>
      </c>
      <c r="E8" s="11" t="str">
        <f aca="false">IF(AND(C8&gt;=2,C8&lt;=4,D8&gt;=1),"OK",IF(AND(C8&gt;=2,C8&lt;=4),"FALTA ALTERNATIVA SEM EQUIPAMENTO","FORA DE 2 A 4 ALTERNATIVAS"))</f>
        <v>OK</v>
      </c>
    </row>
    <row r="9" customFormat="false" ht="15" hidden="false" customHeight="false" outlineLevel="0" collapsed="false">
      <c r="A9" s="6" t="n">
        <v>8</v>
      </c>
      <c r="B9" s="9" t="str">
        <f aca="false">IFERROR(INDEX(exercicio!$B$2:$B$190,MATCH(A9,exercicio!$A$2:$A$190,0)),"")</f>
        <v>Flexão Diamante</v>
      </c>
      <c r="C9" s="9" t="n">
        <f aca="false">COUNTIF(exercicio_alternativo!$A$2:$A$400,A9)</f>
        <v>4</v>
      </c>
      <c r="D9" s="9" t="n">
        <f aca="false">SUMPRODUCT((exercicio_alternativo!$A$2:$A$400=A9)*(exercicio_alternativo!$G$2:$G$400=TRUE()))</f>
        <v>2</v>
      </c>
      <c r="E9" s="11" t="str">
        <f aca="false">IF(AND(C9&gt;=2,C9&lt;=4,D9&gt;=1),"OK",IF(AND(C9&gt;=2,C9&lt;=4),"FALTA ALTERNATIVA SEM EQUIPAMENTO","FORA DE 2 A 4 ALTERNATIVAS"))</f>
        <v>OK</v>
      </c>
    </row>
    <row r="10" customFormat="false" ht="15" hidden="false" customHeight="false" outlineLevel="0" collapsed="false">
      <c r="A10" s="6" t="n">
        <v>9</v>
      </c>
      <c r="B10" s="9" t="str">
        <f aca="false">IFERROR(INDEX(exercicio!$B$2:$B$190,MATCH(A10,exercicio!$A$2:$A$190,0)),"")</f>
        <v>Flexão em Pique</v>
      </c>
      <c r="C10" s="9" t="n">
        <f aca="false">COUNTIF(exercicio_alternativo!$A$2:$A$400,A10)</f>
        <v>4</v>
      </c>
      <c r="D10" s="9" t="n">
        <f aca="false">SUMPRODUCT((exercicio_alternativo!$A$2:$A$400=A10)*(exercicio_alternativo!$G$2:$G$400=TRUE()))</f>
        <v>2</v>
      </c>
      <c r="E10" s="11" t="str">
        <f aca="false">IF(AND(C10&gt;=2,C10&lt;=4,D10&gt;=1),"OK",IF(AND(C10&gt;=2,C10&lt;=4),"FALTA ALTERNATIVA SEM EQUIPAMENTO","FORA DE 2 A 4 ALTERNATIVAS"))</f>
        <v>OK</v>
      </c>
    </row>
    <row r="11" customFormat="false" ht="15" hidden="false" customHeight="false" outlineLevel="0" collapsed="false">
      <c r="A11" s="6" t="n">
        <v>10</v>
      </c>
      <c r="B11" s="9" t="str">
        <f aca="false">IFERROR(INDEX(exercicio!$B$2:$B$190,MATCH(A11,exercicio!$A$2:$A$190,0)),"")</f>
        <v>Flexão nas Pontas dos Dedos</v>
      </c>
      <c r="C11" s="9" t="n">
        <f aca="false">COUNTIF(exercicio_alternativo!$A$2:$A$400,A11)</f>
        <v>3</v>
      </c>
      <c r="D11" s="9" t="n">
        <f aca="false">SUMPRODUCT((exercicio_alternativo!$A$2:$A$400=A11)*(exercicio_alternativo!$G$2:$G$400=TRUE()))</f>
        <v>1</v>
      </c>
      <c r="E11" s="11" t="str">
        <f aca="false">IF(AND(C11&gt;=2,C11&lt;=4,D11&gt;=1),"OK",IF(AND(C11&gt;=2,C11&lt;=4),"FALTA ALTERNATIVA SEM EQUIPAMENTO","FORA DE 2 A 4 ALTERNATIVAS"))</f>
        <v>OK</v>
      </c>
    </row>
    <row r="12" customFormat="false" ht="15" hidden="false" customHeight="false" outlineLevel="0" collapsed="false">
      <c r="A12" s="6" t="n">
        <v>11</v>
      </c>
      <c r="B12" s="9" t="str">
        <f aca="false">IFERROR(INDEX(exercicio!$B$2:$B$190,MATCH(A12,exercicio!$A$2:$A$190,0)),"")</f>
        <v>Desenvolvimento com Halteres</v>
      </c>
      <c r="C12" s="9" t="n">
        <f aca="false">COUNTIF(exercicio_alternativo!$A$2:$A$400,A12)</f>
        <v>3</v>
      </c>
      <c r="D12" s="9" t="n">
        <f aca="false">SUMPRODUCT((exercicio_alternativo!$A$2:$A$400=A12)*(exercicio_alternativo!$G$2:$G$400=TRUE()))</f>
        <v>1</v>
      </c>
      <c r="E12" s="11" t="str">
        <f aca="false">IF(AND(C12&gt;=2,C12&lt;=4,D12&gt;=1),"OK",IF(AND(C12&gt;=2,C12&lt;=4),"FALTA ALTERNATIVA SEM EQUIPAMENTO","FORA DE 2 A 4 ALTERNATIVAS"))</f>
        <v>OK</v>
      </c>
    </row>
    <row r="13" customFormat="false" ht="15" hidden="false" customHeight="false" outlineLevel="0" collapsed="false">
      <c r="A13" s="6" t="n">
        <v>12</v>
      </c>
      <c r="B13" s="9" t="str">
        <f aca="false">IFERROR(INDEX(exercicio!$B$2:$B$190,MATCH(A13,exercicio!$A$2:$A$190,0)),"")</f>
        <v>Elevação Lateral no Cabo</v>
      </c>
      <c r="C13" s="9" t="n">
        <f aca="false">COUNTIF(exercicio_alternativo!$A$2:$A$400,A13)</f>
        <v>3</v>
      </c>
      <c r="D13" s="9" t="n">
        <f aca="false">SUMPRODUCT((exercicio_alternativo!$A$2:$A$400=A13)*(exercicio_alternativo!$G$2:$G$400=TRUE()))</f>
        <v>1</v>
      </c>
      <c r="E13" s="11" t="str">
        <f aca="false">IF(AND(C13&gt;=2,C13&lt;=4,D13&gt;=1),"OK",IF(AND(C13&gt;=2,C13&lt;=4),"FALTA ALTERNATIVA SEM EQUIPAMENTO","FORA DE 2 A 4 ALTERNATIVAS"))</f>
        <v>OK</v>
      </c>
    </row>
    <row r="14" customFormat="false" ht="15" hidden="false" customHeight="false" outlineLevel="0" collapsed="false">
      <c r="A14" s="6" t="n">
        <v>13</v>
      </c>
      <c r="B14" s="9" t="str">
        <f aca="false">IFERROR(INDEX(exercicio!$B$2:$B$190,MATCH(A14,exercicio!$A$2:$A$190,0)),"")</f>
        <v>Elevação Lateral na Máquina</v>
      </c>
      <c r="C14" s="9" t="n">
        <f aca="false">COUNTIF(exercicio_alternativo!$A$2:$A$400,A14)</f>
        <v>3</v>
      </c>
      <c r="D14" s="9" t="n">
        <f aca="false">SUMPRODUCT((exercicio_alternativo!$A$2:$A$400=A14)*(exercicio_alternativo!$G$2:$G$400=TRUE()))</f>
        <v>1</v>
      </c>
      <c r="E14" s="11" t="str">
        <f aca="false">IF(AND(C14&gt;=2,C14&lt;=4,D14&gt;=1),"OK",IF(AND(C14&gt;=2,C14&lt;=4),"FALTA ALTERNATIVA SEM EQUIPAMENTO","FORA DE 2 A 4 ALTERNATIVAS"))</f>
        <v>OK</v>
      </c>
    </row>
    <row r="15" customFormat="false" ht="15" hidden="false" customHeight="false" outlineLevel="0" collapsed="false">
      <c r="A15" s="6" t="n">
        <v>14</v>
      </c>
      <c r="B15" s="9" t="str">
        <f aca="false">IFERROR(INDEX(exercicio!$B$2:$B$190,MATCH(A15,exercicio!$A$2:$A$190,0)),"")</f>
        <v>Crucifixo Invertido na Polia</v>
      </c>
      <c r="C15" s="9" t="n">
        <f aca="false">COUNTIF(exercicio_alternativo!$A$2:$A$400,A15)</f>
        <v>3</v>
      </c>
      <c r="D15" s="9" t="n">
        <f aca="false">SUMPRODUCT((exercicio_alternativo!$A$2:$A$400=A15)*(exercicio_alternativo!$G$2:$G$400=TRUE()))</f>
        <v>2</v>
      </c>
      <c r="E15" s="11" t="str">
        <f aca="false">IF(AND(C15&gt;=2,C15&lt;=4,D15&gt;=1),"OK",IF(AND(C15&gt;=2,C15&lt;=4),"FALTA ALTERNATIVA SEM EQUIPAMENTO","FORA DE 2 A 4 ALTERNATIVAS"))</f>
        <v>OK</v>
      </c>
    </row>
    <row r="16" customFormat="false" ht="15" hidden="false" customHeight="false" outlineLevel="0" collapsed="false">
      <c r="A16" s="6" t="n">
        <v>15</v>
      </c>
      <c r="B16" s="9" t="str">
        <f aca="false">IFERROR(INDEX(exercicio!$B$2:$B$190,MATCH(A16,exercicio!$A$2:$A$190,0)),"")</f>
        <v>Elevação Prona em T</v>
      </c>
      <c r="C16" s="9" t="n">
        <f aca="false">COUNTIF(exercicio_alternativo!$A$2:$A$400,A16)</f>
        <v>3</v>
      </c>
      <c r="D16" s="9" t="n">
        <f aca="false">SUMPRODUCT((exercicio_alternativo!$A$2:$A$400=A16)*(exercicio_alternativo!$G$2:$G$400=TRUE()))</f>
        <v>2</v>
      </c>
      <c r="E16" s="11" t="str">
        <f aca="false">IF(AND(C16&gt;=2,C16&lt;=4,D16&gt;=1),"OK",IF(AND(C16&gt;=2,C16&lt;=4),"FALTA ALTERNATIVA SEM EQUIPAMENTO","FORA DE 2 A 4 ALTERNATIVAS"))</f>
        <v>OK</v>
      </c>
    </row>
    <row r="17" customFormat="false" ht="15" hidden="false" customHeight="false" outlineLevel="0" collapsed="false">
      <c r="A17" s="6" t="n">
        <v>16</v>
      </c>
      <c r="B17" s="9" t="str">
        <f aca="false">IFERROR(INDEX(exercicio!$B$2:$B$190,MATCH(A17,exercicio!$A$2:$A$190,0)),"")</f>
        <v>Anjo da Neve Invertido</v>
      </c>
      <c r="C17" s="9" t="n">
        <f aca="false">COUNTIF(exercicio_alternativo!$A$2:$A$400,A17)</f>
        <v>3</v>
      </c>
      <c r="D17" s="9" t="n">
        <f aca="false">SUMPRODUCT((exercicio_alternativo!$A$2:$A$400=A17)*(exercicio_alternativo!$G$2:$G$400=TRUE()))</f>
        <v>2</v>
      </c>
      <c r="E17" s="11" t="str">
        <f aca="false">IF(AND(C17&gt;=2,C17&lt;=4,D17&gt;=1),"OK",IF(AND(C17&gt;=2,C17&lt;=4),"FALTA ALTERNATIVA SEM EQUIPAMENTO","FORA DE 2 A 4 ALTERNATIVAS"))</f>
        <v>OK</v>
      </c>
    </row>
    <row r="18" customFormat="false" ht="15" hidden="false" customHeight="false" outlineLevel="0" collapsed="false">
      <c r="A18" s="6" t="n">
        <v>17</v>
      </c>
      <c r="B18" s="9" t="str">
        <f aca="false">IFERROR(INDEX(exercicio!$B$2:$B$190,MATCH(A18,exercicio!$A$2:$A$190,0)),"")</f>
        <v>Puxada Alta</v>
      </c>
      <c r="C18" s="9" t="n">
        <f aca="false">COUNTIF(exercicio_alternativo!$A$2:$A$400,A18)</f>
        <v>4</v>
      </c>
      <c r="D18" s="9" t="n">
        <f aca="false">SUMPRODUCT((exercicio_alternativo!$A$2:$A$400=A18)*(exercicio_alternativo!$G$2:$G$400=TRUE()))</f>
        <v>1</v>
      </c>
      <c r="E18" s="11" t="str">
        <f aca="false">IF(AND(C18&gt;=2,C18&lt;=4,D18&gt;=1),"OK",IF(AND(C18&gt;=2,C18&lt;=4),"FALTA ALTERNATIVA SEM EQUIPAMENTO","FORA DE 2 A 4 ALTERNATIVAS"))</f>
        <v>OK</v>
      </c>
    </row>
    <row r="19" customFormat="false" ht="15" hidden="false" customHeight="false" outlineLevel="0" collapsed="false">
      <c r="A19" s="6" t="n">
        <v>18</v>
      </c>
      <c r="B19" s="9" t="str">
        <f aca="false">IFERROR(INDEX(exercicio!$B$2:$B$190,MATCH(A19,exercicio!$A$2:$A$190,0)),"")</f>
        <v>Remada Baixa</v>
      </c>
      <c r="C19" s="9" t="n">
        <f aca="false">COUNTIF(exercicio_alternativo!$A$2:$A$400,A19)</f>
        <v>4</v>
      </c>
      <c r="D19" s="9" t="n">
        <f aca="false">SUMPRODUCT((exercicio_alternativo!$A$2:$A$400=A19)*(exercicio_alternativo!$G$2:$G$400=TRUE()))</f>
        <v>1</v>
      </c>
      <c r="E19" s="11" t="str">
        <f aca="false">IF(AND(C19&gt;=2,C19&lt;=4,D19&gt;=1),"OK",IF(AND(C19&gt;=2,C19&lt;=4),"FALTA ALTERNATIVA SEM EQUIPAMENTO","FORA DE 2 A 4 ALTERNATIVAS"))</f>
        <v>OK</v>
      </c>
    </row>
    <row r="20" customFormat="false" ht="15" hidden="false" customHeight="false" outlineLevel="0" collapsed="false">
      <c r="A20" s="6" t="n">
        <v>19</v>
      </c>
      <c r="B20" s="9" t="str">
        <f aca="false">IFERROR(INDEX(exercicio!$B$2:$B$190,MATCH(A20,exercicio!$A$2:$A$190,0)),"")</f>
        <v>Remada Unilateral Articulada</v>
      </c>
      <c r="C20" s="9" t="n">
        <f aca="false">COUNTIF(exercicio_alternativo!$A$2:$A$400,A20)</f>
        <v>4</v>
      </c>
      <c r="D20" s="9" t="n">
        <f aca="false">SUMPRODUCT((exercicio_alternativo!$A$2:$A$400=A20)*(exercicio_alternativo!$G$2:$G$400=TRUE()))</f>
        <v>1</v>
      </c>
      <c r="E20" s="11" t="str">
        <f aca="false">IF(AND(C20&gt;=2,C20&lt;=4,D20&gt;=1),"OK",IF(AND(C20&gt;=2,C20&lt;=4),"FALTA ALTERNATIVA SEM EQUIPAMENTO","FORA DE 2 A 4 ALTERNATIVAS"))</f>
        <v>OK</v>
      </c>
    </row>
    <row r="21" customFormat="false" ht="15" hidden="false" customHeight="false" outlineLevel="0" collapsed="false">
      <c r="A21" s="6" t="n">
        <v>20</v>
      </c>
      <c r="B21" s="9" t="str">
        <f aca="false">IFERROR(INDEX(exercicio!$B$2:$B$190,MATCH(A21,exercicio!$A$2:$A$190,0)),"")</f>
        <v>Puxada Unilateral na Polia</v>
      </c>
      <c r="C21" s="9" t="n">
        <f aca="false">COUNTIF(exercicio_alternativo!$A$2:$A$400,A21)</f>
        <v>3</v>
      </c>
      <c r="D21" s="9" t="n">
        <f aca="false">SUMPRODUCT((exercicio_alternativo!$A$2:$A$400=A21)*(exercicio_alternativo!$G$2:$G$400=TRUE()))</f>
        <v>1</v>
      </c>
      <c r="E21" s="11" t="str">
        <f aca="false">IF(AND(C21&gt;=2,C21&lt;=4,D21&gt;=1),"OK",IF(AND(C21&gt;=2,C21&lt;=4),"FALTA ALTERNATIVA SEM EQUIPAMENTO","FORA DE 2 A 4 ALTERNATIVAS"))</f>
        <v>OK</v>
      </c>
    </row>
    <row r="22" customFormat="false" ht="15" hidden="false" customHeight="false" outlineLevel="0" collapsed="false">
      <c r="A22" s="6" t="n">
        <v>21</v>
      </c>
      <c r="B22" s="9" t="str">
        <f aca="false">IFERROR(INDEX(exercicio!$B$2:$B$190,MATCH(A22,exercicio!$A$2:$A$190,0)),"")</f>
        <v>Remada Invertida</v>
      </c>
      <c r="C22" s="9" t="n">
        <f aca="false">COUNTIF(exercicio_alternativo!$A$2:$A$400,A22)</f>
        <v>3</v>
      </c>
      <c r="D22" s="9" t="n">
        <f aca="false">SUMPRODUCT((exercicio_alternativo!$A$2:$A$400=A22)*(exercicio_alternativo!$G$2:$G$400=TRUE()))</f>
        <v>1</v>
      </c>
      <c r="E22" s="11" t="str">
        <f aca="false">IF(AND(C22&gt;=2,C22&lt;=4,D22&gt;=1),"OK",IF(AND(C22&gt;=2,C22&lt;=4),"FALTA ALTERNATIVA SEM EQUIPAMENTO","FORA DE 2 A 4 ALTERNATIVAS"))</f>
        <v>OK</v>
      </c>
    </row>
    <row r="23" customFormat="false" ht="15" hidden="false" customHeight="false" outlineLevel="0" collapsed="false">
      <c r="A23" s="6" t="n">
        <v>22</v>
      </c>
      <c r="B23" s="9" t="str">
        <f aca="false">IFERROR(INDEX(exercicio!$B$2:$B$190,MATCH(A23,exercicio!$A$2:$A$190,0)),"")</f>
        <v>Barra Fixa</v>
      </c>
      <c r="C23" s="9" t="n">
        <f aca="false">COUNTIF(exercicio_alternativo!$A$2:$A$400,A23)</f>
        <v>3</v>
      </c>
      <c r="D23" s="9" t="n">
        <f aca="false">SUMPRODUCT((exercicio_alternativo!$A$2:$A$400=A23)*(exercicio_alternativo!$G$2:$G$400=TRUE()))</f>
        <v>1</v>
      </c>
      <c r="E23" s="11" t="str">
        <f aca="false">IF(AND(C23&gt;=2,C23&lt;=4,D23&gt;=1),"OK",IF(AND(C23&gt;=2,C23&lt;=4),"FALTA ALTERNATIVA SEM EQUIPAMENTO","FORA DE 2 A 4 ALTERNATIVAS"))</f>
        <v>OK</v>
      </c>
    </row>
    <row r="24" customFormat="false" ht="15" hidden="false" customHeight="false" outlineLevel="0" collapsed="false">
      <c r="A24" s="6" t="n">
        <v>23</v>
      </c>
      <c r="B24" s="9" t="str">
        <f aca="false">IFERROR(INDEX(exercicio!$B$2:$B$190,MATCH(A24,exercicio!$A$2:$A$190,0)),"")</f>
        <v>Encolhimento com Halteres</v>
      </c>
      <c r="C24" s="9" t="n">
        <f aca="false">COUNTIF(exercicio_alternativo!$A$2:$A$400,A24)</f>
        <v>3</v>
      </c>
      <c r="D24" s="9" t="n">
        <f aca="false">SUMPRODUCT((exercicio_alternativo!$A$2:$A$400=A24)*(exercicio_alternativo!$G$2:$G$400=TRUE()))</f>
        <v>2</v>
      </c>
      <c r="E24" s="11" t="str">
        <f aca="false">IF(AND(C24&gt;=2,C24&lt;=4,D24&gt;=1),"OK",IF(AND(C24&gt;=2,C24&lt;=4),"FALTA ALTERNATIVA SEM EQUIPAMENTO","FORA DE 2 A 4 ALTERNATIVAS"))</f>
        <v>OK</v>
      </c>
    </row>
    <row r="25" customFormat="false" ht="15" hidden="false" customHeight="false" outlineLevel="0" collapsed="false">
      <c r="A25" s="6" t="n">
        <v>24</v>
      </c>
      <c r="B25" s="9" t="str">
        <f aca="false">IFERROR(INDEX(exercicio!$B$2:$B$190,MATCH(A25,exercicio!$A$2:$A$190,0)),"")</f>
        <v>Encolhimento com Barra</v>
      </c>
      <c r="C25" s="9" t="n">
        <f aca="false">COUNTIF(exercicio_alternativo!$A$2:$A$400,A25)</f>
        <v>3</v>
      </c>
      <c r="D25" s="9" t="n">
        <f aca="false">SUMPRODUCT((exercicio_alternativo!$A$2:$A$400=A25)*(exercicio_alternativo!$G$2:$G$400=TRUE()))</f>
        <v>2</v>
      </c>
      <c r="E25" s="11" t="str">
        <f aca="false">IF(AND(C25&gt;=2,C25&lt;=4,D25&gt;=1),"OK",IF(AND(C25&gt;=2,C25&lt;=4),"FALTA ALTERNATIVA SEM EQUIPAMENTO","FORA DE 2 A 4 ALTERNATIVAS"))</f>
        <v>OK</v>
      </c>
    </row>
    <row r="26" customFormat="false" ht="15" hidden="false" customHeight="false" outlineLevel="0" collapsed="false">
      <c r="A26" s="6" t="n">
        <v>25</v>
      </c>
      <c r="B26" s="9" t="str">
        <f aca="false">IFERROR(INDEX(exercicio!$B$2:$B$190,MATCH(A26,exercicio!$A$2:$A$190,0)),"")</f>
        <v>Elevação Prona em Y</v>
      </c>
      <c r="C26" s="9" t="n">
        <f aca="false">COUNTIF(exercicio_alternativo!$A$2:$A$400,A26)</f>
        <v>3</v>
      </c>
      <c r="D26" s="9" t="n">
        <f aca="false">SUMPRODUCT((exercicio_alternativo!$A$2:$A$400=A26)*(exercicio_alternativo!$G$2:$G$400=TRUE()))</f>
        <v>2</v>
      </c>
      <c r="E26" s="11" t="str">
        <f aca="false">IF(AND(C26&gt;=2,C26&lt;=4,D26&gt;=1),"OK",IF(AND(C26&gt;=2,C26&lt;=4),"FALTA ALTERNATIVA SEM EQUIPAMENTO","FORA DE 2 A 4 ALTERNATIVAS"))</f>
        <v>OK</v>
      </c>
    </row>
    <row r="27" customFormat="false" ht="15" hidden="false" customHeight="false" outlineLevel="0" collapsed="false">
      <c r="A27" s="6" t="n">
        <v>26</v>
      </c>
      <c r="B27" s="9" t="str">
        <f aca="false">IFERROR(INDEX(exercicio!$B$2:$B$190,MATCH(A27,exercicio!$A$2:$A$190,0)),"")</f>
        <v>Anjo e Diabo Prono</v>
      </c>
      <c r="C27" s="9" t="n">
        <f aca="false">COUNTIF(exercicio_alternativo!$A$2:$A$400,A27)</f>
        <v>3</v>
      </c>
      <c r="D27" s="9" t="n">
        <f aca="false">SUMPRODUCT((exercicio_alternativo!$A$2:$A$400=A27)*(exercicio_alternativo!$G$2:$G$400=TRUE()))</f>
        <v>2</v>
      </c>
      <c r="E27" s="11" t="str">
        <f aca="false">IF(AND(C27&gt;=2,C27&lt;=4,D27&gt;=1),"OK",IF(AND(C27&gt;=2,C27&lt;=4),"FALTA ALTERNATIVA SEM EQUIPAMENTO","FORA DE 2 A 4 ALTERNATIVAS"))</f>
        <v>OK</v>
      </c>
    </row>
    <row r="28" customFormat="false" ht="15" hidden="false" customHeight="false" outlineLevel="0" collapsed="false">
      <c r="A28" s="6" t="n">
        <v>27</v>
      </c>
      <c r="B28" s="9" t="str">
        <f aca="false">IFERROR(INDEX(exercicio!$B$2:$B$190,MATCH(A28,exercicio!$A$2:$A$190,0)),"")</f>
        <v>Hiperextensão Lombar</v>
      </c>
      <c r="C28" s="9" t="n">
        <f aca="false">COUNTIF(exercicio_alternativo!$A$2:$A$400,A28)</f>
        <v>3</v>
      </c>
      <c r="D28" s="9" t="n">
        <f aca="false">SUMPRODUCT((exercicio_alternativo!$A$2:$A$400=A28)*(exercicio_alternativo!$G$2:$G$400=TRUE()))</f>
        <v>1</v>
      </c>
      <c r="E28" s="11" t="str">
        <f aca="false">IF(AND(C28&gt;=2,C28&lt;=4,D28&gt;=1),"OK",IF(AND(C28&gt;=2,C28&lt;=4),"FALTA ALTERNATIVA SEM EQUIPAMENTO","FORA DE 2 A 4 ALTERNATIVAS"))</f>
        <v>OK</v>
      </c>
    </row>
    <row r="29" customFormat="false" ht="15" hidden="false" customHeight="false" outlineLevel="0" collapsed="false">
      <c r="A29" s="6" t="n">
        <v>28</v>
      </c>
      <c r="B29" s="9" t="str">
        <f aca="false">IFERROR(INDEX(exercicio!$B$2:$B$190,MATCH(A29,exercicio!$A$2:$A$190,0)),"")</f>
        <v>Good Morning</v>
      </c>
      <c r="C29" s="9" t="n">
        <f aca="false">COUNTIF(exercicio_alternativo!$A$2:$A$400,A29)</f>
        <v>3</v>
      </c>
      <c r="D29" s="9" t="n">
        <f aca="false">SUMPRODUCT((exercicio_alternativo!$A$2:$A$400=A29)*(exercicio_alternativo!$G$2:$G$400=TRUE()))</f>
        <v>1</v>
      </c>
      <c r="E29" s="11" t="str">
        <f aca="false">IF(AND(C29&gt;=2,C29&lt;=4,D29&gt;=1),"OK",IF(AND(C29&gt;=2,C29&lt;=4),"FALTA ALTERNATIVA SEM EQUIPAMENTO","FORA DE 2 A 4 ALTERNATIVAS"))</f>
        <v>OK</v>
      </c>
    </row>
    <row r="30" customFormat="false" ht="15" hidden="false" customHeight="false" outlineLevel="0" collapsed="false">
      <c r="A30" s="6" t="n">
        <v>29</v>
      </c>
      <c r="B30" s="9" t="str">
        <f aca="false">IFERROR(INDEX(exercicio!$B$2:$B$190,MATCH(A30,exercicio!$A$2:$A$190,0)),"")</f>
        <v>Superman</v>
      </c>
      <c r="C30" s="9" t="n">
        <f aca="false">COUNTIF(exercicio_alternativo!$A$2:$A$400,A30)</f>
        <v>3</v>
      </c>
      <c r="D30" s="9" t="n">
        <f aca="false">SUMPRODUCT((exercicio_alternativo!$A$2:$A$400=A30)*(exercicio_alternativo!$G$2:$G$400=TRUE()))</f>
        <v>1</v>
      </c>
      <c r="E30" s="11" t="str">
        <f aca="false">IF(AND(C30&gt;=2,C30&lt;=4,D30&gt;=1),"OK",IF(AND(C30&gt;=2,C30&lt;=4),"FALTA ALTERNATIVA SEM EQUIPAMENTO","FORA DE 2 A 4 ALTERNATIVAS"))</f>
        <v>OK</v>
      </c>
    </row>
    <row r="31" customFormat="false" ht="15" hidden="false" customHeight="false" outlineLevel="0" collapsed="false">
      <c r="A31" s="6" t="n">
        <v>30</v>
      </c>
      <c r="B31" s="9" t="str">
        <f aca="false">IFERROR(INDEX(exercicio!$B$2:$B$190,MATCH(A31,exercicio!$A$2:$A$190,0)),"")</f>
        <v>Rosca Direta na Polia Baixa</v>
      </c>
      <c r="C31" s="9" t="n">
        <f aca="false">COUNTIF(exercicio_alternativo!$A$2:$A$400,A31)</f>
        <v>4</v>
      </c>
      <c r="D31" s="9" t="n">
        <f aca="false">SUMPRODUCT((exercicio_alternativo!$A$2:$A$400=A31)*(exercicio_alternativo!$G$2:$G$400=TRUE()))</f>
        <v>1</v>
      </c>
      <c r="E31" s="11" t="str">
        <f aca="false">IF(AND(C31&gt;=2,C31&lt;=4,D31&gt;=1),"OK",IF(AND(C31&gt;=2,C31&lt;=4),"FALTA ALTERNATIVA SEM EQUIPAMENTO","FORA DE 2 A 4 ALTERNATIVAS"))</f>
        <v>OK</v>
      </c>
    </row>
    <row r="32" customFormat="false" ht="15" hidden="false" customHeight="false" outlineLevel="0" collapsed="false">
      <c r="A32" s="6" t="n">
        <v>31</v>
      </c>
      <c r="B32" s="9" t="str">
        <f aca="false">IFERROR(INDEX(exercicio!$B$2:$B$190,MATCH(A32,exercicio!$A$2:$A$190,0)),"")</f>
        <v>Rosca Scott na Máquina</v>
      </c>
      <c r="C32" s="9" t="n">
        <f aca="false">COUNTIF(exercicio_alternativo!$A$2:$A$400,A32)</f>
        <v>3</v>
      </c>
      <c r="D32" s="9" t="n">
        <f aca="false">SUMPRODUCT((exercicio_alternativo!$A$2:$A$400=A32)*(exercicio_alternativo!$G$2:$G$400=TRUE()))</f>
        <v>1</v>
      </c>
      <c r="E32" s="11" t="str">
        <f aca="false">IF(AND(C32&gt;=2,C32&lt;=4,D32&gt;=1),"OK",IF(AND(C32&gt;=2,C32&lt;=4),"FALTA ALTERNATIVA SEM EQUIPAMENTO","FORA DE 2 A 4 ALTERNATIVAS"))</f>
        <v>OK</v>
      </c>
    </row>
    <row r="33" customFormat="false" ht="15" hidden="false" customHeight="false" outlineLevel="0" collapsed="false">
      <c r="A33" s="6" t="n">
        <v>32</v>
      </c>
      <c r="B33" s="9" t="str">
        <f aca="false">IFERROR(INDEX(exercicio!$B$2:$B$190,MATCH(A33,exercicio!$A$2:$A$190,0)),"")</f>
        <v>Rosca Inclinada com Halteres</v>
      </c>
      <c r="C33" s="9" t="n">
        <f aca="false">COUNTIF(exercicio_alternativo!$A$2:$A$400,A33)</f>
        <v>3</v>
      </c>
      <c r="D33" s="9" t="n">
        <f aca="false">SUMPRODUCT((exercicio_alternativo!$A$2:$A$400=A33)*(exercicio_alternativo!$G$2:$G$400=TRUE()))</f>
        <v>1</v>
      </c>
      <c r="E33" s="11" t="str">
        <f aca="false">IF(AND(C33&gt;=2,C33&lt;=4,D33&gt;=1),"OK",IF(AND(C33&gt;=2,C33&lt;=4),"FALTA ALTERNATIVA SEM EQUIPAMENTO","FORA DE 2 A 4 ALTERNATIVAS"))</f>
        <v>OK</v>
      </c>
    </row>
    <row r="34" customFormat="false" ht="15" hidden="false" customHeight="false" outlineLevel="0" collapsed="false">
      <c r="A34" s="6" t="n">
        <v>33</v>
      </c>
      <c r="B34" s="9" t="str">
        <f aca="false">IFERROR(INDEX(exercicio!$B$2:$B$190,MATCH(A34,exercicio!$A$2:$A$190,0)),"")</f>
        <v>Rosca Scott com Halteres</v>
      </c>
      <c r="C34" s="9" t="n">
        <f aca="false">COUNTIF(exercicio_alternativo!$A$2:$A$400,A34)</f>
        <v>3</v>
      </c>
      <c r="D34" s="9" t="n">
        <f aca="false">SUMPRODUCT((exercicio_alternativo!$A$2:$A$400=A34)*(exercicio_alternativo!$G$2:$G$400=TRUE()))</f>
        <v>1</v>
      </c>
      <c r="E34" s="11" t="str">
        <f aca="false">IF(AND(C34&gt;=2,C34&lt;=4,D34&gt;=1),"OK",IF(AND(C34&gt;=2,C34&lt;=4),"FALTA ALTERNATIVA SEM EQUIPAMENTO","FORA DE 2 A 4 ALTERNATIVAS"))</f>
        <v>OK</v>
      </c>
    </row>
    <row r="35" customFormat="false" ht="15" hidden="false" customHeight="false" outlineLevel="0" collapsed="false">
      <c r="A35" s="6" t="n">
        <v>34</v>
      </c>
      <c r="B35" s="9" t="str">
        <f aca="false">IFERROR(INDEX(exercicio!$B$2:$B$190,MATCH(A35,exercicio!$A$2:$A$190,0)),"")</f>
        <v>Rosca de Bíceps com Autorresistência</v>
      </c>
      <c r="C35" s="9" t="n">
        <f aca="false">COUNTIF(exercicio_alternativo!$A$2:$A$400,A35)</f>
        <v>3</v>
      </c>
      <c r="D35" s="9" t="n">
        <f aca="false">SUMPRODUCT((exercicio_alternativo!$A$2:$A$400=A35)*(exercicio_alternativo!$G$2:$G$400=TRUE()))</f>
        <v>0</v>
      </c>
      <c r="E35" s="11" t="str">
        <f aca="false">IF(AND(C35&gt;=2,C35&lt;=4,D35&gt;=1),"OK",IF(AND(C35&gt;=2,C35&lt;=4),"FALTA ALTERNATIVA SEM EQUIPAMENTO","FORA DE 2 A 4 ALTERNATIVAS"))</f>
        <v>FALTA ALTERNATIVA SEM EQUIPAMENTO</v>
      </c>
    </row>
    <row r="36" customFormat="false" ht="15" hidden="false" customHeight="false" outlineLevel="0" collapsed="false">
      <c r="A36" s="6" t="n">
        <v>35</v>
      </c>
      <c r="B36" s="9" t="str">
        <f aca="false">IFERROR(INDEX(exercicio!$B$2:$B$190,MATCH(A36,exercicio!$A$2:$A$190,0)),"")</f>
        <v>Tríceps Pulley</v>
      </c>
      <c r="C36" s="9" t="n">
        <f aca="false">COUNTIF(exercicio_alternativo!$A$2:$A$400,A36)</f>
        <v>4</v>
      </c>
      <c r="D36" s="9" t="n">
        <f aca="false">SUMPRODUCT((exercicio_alternativo!$A$2:$A$400=A36)*(exercicio_alternativo!$G$2:$G$400=TRUE()))</f>
        <v>1</v>
      </c>
      <c r="E36" s="11" t="str">
        <f aca="false">IF(AND(C36&gt;=2,C36&lt;=4,D36&gt;=1),"OK",IF(AND(C36&gt;=2,C36&lt;=4),"FALTA ALTERNATIVA SEM EQUIPAMENTO","FORA DE 2 A 4 ALTERNATIVAS"))</f>
        <v>OK</v>
      </c>
    </row>
    <row r="37" customFormat="false" ht="15" hidden="false" customHeight="false" outlineLevel="0" collapsed="false">
      <c r="A37" s="6" t="n">
        <v>36</v>
      </c>
      <c r="B37" s="9" t="str">
        <f aca="false">IFERROR(INDEX(exercicio!$B$2:$B$190,MATCH(A37,exercicio!$A$2:$A$190,0)),"")</f>
        <v>Tríceps Testa na Polia</v>
      </c>
      <c r="C37" s="9" t="n">
        <f aca="false">COUNTIF(exercicio_alternativo!$A$2:$A$400,A37)</f>
        <v>3</v>
      </c>
      <c r="D37" s="9" t="n">
        <f aca="false">SUMPRODUCT((exercicio_alternativo!$A$2:$A$400=A37)*(exercicio_alternativo!$G$2:$G$400=TRUE()))</f>
        <v>1</v>
      </c>
      <c r="E37" s="11" t="str">
        <f aca="false">IF(AND(C37&gt;=2,C37&lt;=4,D37&gt;=1),"OK",IF(AND(C37&gt;=2,C37&lt;=4),"FALTA ALTERNATIVA SEM EQUIPAMENTO","FORA DE 2 A 4 ALTERNATIVAS"))</f>
        <v>OK</v>
      </c>
    </row>
    <row r="38" customFormat="false" ht="15" hidden="false" customHeight="false" outlineLevel="0" collapsed="false">
      <c r="A38" s="6" t="n">
        <v>37</v>
      </c>
      <c r="B38" s="9" t="str">
        <f aca="false">IFERROR(INDEX(exercicio!$B$2:$B$190,MATCH(A38,exercicio!$A$2:$A$190,0)),"")</f>
        <v>Tríceps Francês na Polia</v>
      </c>
      <c r="C38" s="9" t="n">
        <f aca="false">COUNTIF(exercicio_alternativo!$A$2:$A$400,A38)</f>
        <v>4</v>
      </c>
      <c r="D38" s="9" t="n">
        <f aca="false">SUMPRODUCT((exercicio_alternativo!$A$2:$A$400=A38)*(exercicio_alternativo!$G$2:$G$400=TRUE()))</f>
        <v>1</v>
      </c>
      <c r="E38" s="11" t="str">
        <f aca="false">IF(AND(C38&gt;=2,C38&lt;=4,D38&gt;=1),"OK",IF(AND(C38&gt;=2,C38&lt;=4),"FALTA ALTERNATIVA SEM EQUIPAMENTO","FORA DE 2 A 4 ALTERNATIVAS"))</f>
        <v>OK</v>
      </c>
    </row>
    <row r="39" customFormat="false" ht="15" hidden="false" customHeight="false" outlineLevel="0" collapsed="false">
      <c r="A39" s="6" t="n">
        <v>38</v>
      </c>
      <c r="B39" s="9" t="str">
        <f aca="false">IFERROR(INDEX(exercicio!$B$2:$B$190,MATCH(A39,exercicio!$A$2:$A$190,0)),"")</f>
        <v>Rosca de Punho com Halteres</v>
      </c>
      <c r="C39" s="9" t="n">
        <f aca="false">COUNTIF(exercicio_alternativo!$A$2:$A$400,A39)</f>
        <v>3</v>
      </c>
      <c r="D39" s="9" t="n">
        <f aca="false">SUMPRODUCT((exercicio_alternativo!$A$2:$A$400=A39)*(exercicio_alternativo!$G$2:$G$400=TRUE()))</f>
        <v>1</v>
      </c>
      <c r="E39" s="11" t="str">
        <f aca="false">IF(AND(C39&gt;=2,C39&lt;=4,D39&gt;=1),"OK",IF(AND(C39&gt;=2,C39&lt;=4),"FALTA ALTERNATIVA SEM EQUIPAMENTO","FORA DE 2 A 4 ALTERNATIVAS"))</f>
        <v>OK</v>
      </c>
    </row>
    <row r="40" customFormat="false" ht="15" hidden="false" customHeight="false" outlineLevel="0" collapsed="false">
      <c r="A40" s="6" t="n">
        <v>39</v>
      </c>
      <c r="B40" s="9" t="str">
        <f aca="false">IFERROR(INDEX(exercicio!$B$2:$B$190,MATCH(A40,exercicio!$A$2:$A$190,0)),"")</f>
        <v>Rosca de Punho com Barra</v>
      </c>
      <c r="C40" s="9" t="n">
        <f aca="false">COUNTIF(exercicio_alternativo!$A$2:$A$400,A40)</f>
        <v>3</v>
      </c>
      <c r="D40" s="9" t="n">
        <f aca="false">SUMPRODUCT((exercicio_alternativo!$A$2:$A$400=A40)*(exercicio_alternativo!$G$2:$G$400=TRUE()))</f>
        <v>1</v>
      </c>
      <c r="E40" s="11" t="str">
        <f aca="false">IF(AND(C40&gt;=2,C40&lt;=4,D40&gt;=1),"OK",IF(AND(C40&gt;=2,C40&lt;=4),"FALTA ALTERNATIVA SEM EQUIPAMENTO","FORA DE 2 A 4 ALTERNATIVAS"))</f>
        <v>OK</v>
      </c>
    </row>
    <row r="41" customFormat="false" ht="15" hidden="false" customHeight="false" outlineLevel="0" collapsed="false">
      <c r="A41" s="6" t="n">
        <v>40</v>
      </c>
      <c r="B41" s="9" t="str">
        <f aca="false">IFERROR(INDEX(exercicio!$B$2:$B$190,MATCH(A41,exercicio!$A$2:$A$190,0)),"")</f>
        <v>Rosca de Punho Reversa com Halteres</v>
      </c>
      <c r="C41" s="9" t="n">
        <f aca="false">COUNTIF(exercicio_alternativo!$A$2:$A$400,A41)</f>
        <v>3</v>
      </c>
      <c r="D41" s="9" t="n">
        <f aca="false">SUMPRODUCT((exercicio_alternativo!$A$2:$A$400=A41)*(exercicio_alternativo!$G$2:$G$400=TRUE()))</f>
        <v>1</v>
      </c>
      <c r="E41" s="11" t="str">
        <f aca="false">IF(AND(C41&gt;=2,C41&lt;=4,D41&gt;=1),"OK",IF(AND(C41&gt;=2,C41&lt;=4),"FALTA ALTERNATIVA SEM EQUIPAMENTO","FORA DE 2 A 4 ALTERNATIVAS"))</f>
        <v>OK</v>
      </c>
    </row>
    <row r="42" customFormat="false" ht="15" hidden="false" customHeight="false" outlineLevel="0" collapsed="false">
      <c r="A42" s="6" t="n">
        <v>41</v>
      </c>
      <c r="B42" s="9" t="str">
        <f aca="false">IFERROR(INDEX(exercicio!$B$2:$B$190,MATCH(A42,exercicio!$A$2:$A$190,0)),"")</f>
        <v>Suspensão na Barra</v>
      </c>
      <c r="C42" s="9" t="n">
        <f aca="false">COUNTIF(exercicio_alternativo!$A$2:$A$400,A42)</f>
        <v>3</v>
      </c>
      <c r="D42" s="9" t="n">
        <f aca="false">SUMPRODUCT((exercicio_alternativo!$A$2:$A$400=A42)*(exercicio_alternativo!$G$2:$G$400=TRUE()))</f>
        <v>1</v>
      </c>
      <c r="E42" s="11" t="str">
        <f aca="false">IF(AND(C42&gt;=2,C42&lt;=4,D42&gt;=1),"OK",IF(AND(C42&gt;=2,C42&lt;=4),"FALTA ALTERNATIVA SEM EQUIPAMENTO","FORA DE 2 A 4 ALTERNATIVAS"))</f>
        <v>OK</v>
      </c>
    </row>
    <row r="43" customFormat="false" ht="15" hidden="false" customHeight="false" outlineLevel="0" collapsed="false">
      <c r="A43" s="6" t="n">
        <v>42</v>
      </c>
      <c r="B43" s="9" t="str">
        <f aca="false">IFERROR(INDEX(exercicio!$B$2:$B$190,MATCH(A43,exercicio!$A$2:$A$190,0)),"")</f>
        <v>Caminhada do Fazendeiro</v>
      </c>
      <c r="C43" s="9" t="n">
        <f aca="false">COUNTIF(exercicio_alternativo!$A$2:$A$400,A43)</f>
        <v>3</v>
      </c>
      <c r="D43" s="9" t="n">
        <f aca="false">SUMPRODUCT((exercicio_alternativo!$A$2:$A$400=A43)*(exercicio_alternativo!$G$2:$G$400=TRUE()))</f>
        <v>1</v>
      </c>
      <c r="E43" s="11" t="str">
        <f aca="false">IF(AND(C43&gt;=2,C43&lt;=4,D43&gt;=1),"OK",IF(AND(C43&gt;=2,C43&lt;=4),"FALTA ALTERNATIVA SEM EQUIPAMENTO","FORA DE 2 A 4 ALTERNATIVAS"))</f>
        <v>OK</v>
      </c>
    </row>
    <row r="44" customFormat="false" ht="15" hidden="false" customHeight="false" outlineLevel="0" collapsed="false">
      <c r="A44" s="6" t="n">
        <v>43</v>
      </c>
      <c r="B44" s="9" t="str">
        <f aca="false">IFERROR(INDEX(exercicio!$B$2:$B$190,MATCH(A44,exercicio!$A$2:$A$190,0)),"")</f>
        <v>Cadeira Extensora</v>
      </c>
      <c r="C44" s="9" t="n">
        <f aca="false">COUNTIF(exercicio_alternativo!$A$2:$A$400,A44)</f>
        <v>4</v>
      </c>
      <c r="D44" s="9" t="n">
        <f aca="false">SUMPRODUCT((exercicio_alternativo!$A$2:$A$400=A44)*(exercicio_alternativo!$G$2:$G$400=TRUE()))</f>
        <v>2</v>
      </c>
      <c r="E44" s="11" t="str">
        <f aca="false">IF(AND(C44&gt;=2,C44&lt;=4,D44&gt;=1),"OK",IF(AND(C44&gt;=2,C44&lt;=4),"FALTA ALTERNATIVA SEM EQUIPAMENTO","FORA DE 2 A 4 ALTERNATIVAS"))</f>
        <v>OK</v>
      </c>
    </row>
    <row r="45" customFormat="false" ht="15" hidden="false" customHeight="false" outlineLevel="0" collapsed="false">
      <c r="A45" s="6" t="n">
        <v>44</v>
      </c>
      <c r="B45" s="9" t="str">
        <f aca="false">IFERROR(INDEX(exercicio!$B$2:$B$190,MATCH(A45,exercicio!$A$2:$A$190,0)),"")</f>
        <v>Leg Press</v>
      </c>
      <c r="C45" s="9" t="n">
        <f aca="false">COUNTIF(exercicio_alternativo!$A$2:$A$400,A45)</f>
        <v>4</v>
      </c>
      <c r="D45" s="9" t="n">
        <f aca="false">SUMPRODUCT((exercicio_alternativo!$A$2:$A$400=A45)*(exercicio_alternativo!$G$2:$G$400=TRUE()))</f>
        <v>1</v>
      </c>
      <c r="E45" s="11" t="str">
        <f aca="false">IF(AND(C45&gt;=2,C45&lt;=4,D45&gt;=1),"OK",IF(AND(C45&gt;=2,C45&lt;=4),"FALTA ALTERNATIVA SEM EQUIPAMENTO","FORA DE 2 A 4 ALTERNATIVAS"))</f>
        <v>OK</v>
      </c>
    </row>
    <row r="46" customFormat="false" ht="15" hidden="false" customHeight="false" outlineLevel="0" collapsed="false">
      <c r="A46" s="6" t="n">
        <v>45</v>
      </c>
      <c r="B46" s="9" t="str">
        <f aca="false">IFERROR(INDEX(exercicio!$B$2:$B$190,MATCH(A46,exercicio!$A$2:$A$190,0)),"")</f>
        <v>Agachamento Livre com Barra</v>
      </c>
      <c r="C46" s="9" t="n">
        <f aca="false">COUNTIF(exercicio_alternativo!$A$2:$A$400,A46)</f>
        <v>4</v>
      </c>
      <c r="D46" s="9" t="n">
        <f aca="false">SUMPRODUCT((exercicio_alternativo!$A$2:$A$400=A46)*(exercicio_alternativo!$G$2:$G$400=TRUE()))</f>
        <v>1</v>
      </c>
      <c r="E46" s="11" t="str">
        <f aca="false">IF(AND(C46&gt;=2,C46&lt;=4,D46&gt;=1),"OK",IF(AND(C46&gt;=2,C46&lt;=4),"FALTA ALTERNATIVA SEM EQUIPAMENTO","FORA DE 2 A 4 ALTERNATIVAS"))</f>
        <v>OK</v>
      </c>
    </row>
    <row r="47" customFormat="false" ht="15" hidden="false" customHeight="false" outlineLevel="0" collapsed="false">
      <c r="A47" s="6" t="n">
        <v>46</v>
      </c>
      <c r="B47" s="9" t="str">
        <f aca="false">IFERROR(INDEX(exercicio!$B$2:$B$190,MATCH(A47,exercicio!$A$2:$A$190,0)),"")</f>
        <v>Agachamento com Peso do Corpo</v>
      </c>
      <c r="C47" s="9" t="n">
        <f aca="false">COUNTIF(exercicio_alternativo!$A$2:$A$400,A47)</f>
        <v>3</v>
      </c>
      <c r="D47" s="9" t="n">
        <f aca="false">SUMPRODUCT((exercicio_alternativo!$A$2:$A$400=A47)*(exercicio_alternativo!$G$2:$G$400=TRUE()))</f>
        <v>1</v>
      </c>
      <c r="E47" s="11" t="str">
        <f aca="false">IF(AND(C47&gt;=2,C47&lt;=4,D47&gt;=1),"OK",IF(AND(C47&gt;=2,C47&lt;=4),"FALTA ALTERNATIVA SEM EQUIPAMENTO","FORA DE 2 A 4 ALTERNATIVAS"))</f>
        <v>OK</v>
      </c>
    </row>
    <row r="48" customFormat="false" ht="15" hidden="false" customHeight="false" outlineLevel="0" collapsed="false">
      <c r="A48" s="6" t="n">
        <v>47</v>
      </c>
      <c r="B48" s="9" t="str">
        <f aca="false">IFERROR(INDEX(exercicio!$B$2:$B$190,MATCH(A48,exercicio!$A$2:$A$190,0)),"")</f>
        <v>Afundo</v>
      </c>
      <c r="C48" s="9" t="n">
        <f aca="false">COUNTIF(exercicio_alternativo!$A$2:$A$400,A48)</f>
        <v>3</v>
      </c>
      <c r="D48" s="9" t="n">
        <f aca="false">SUMPRODUCT((exercicio_alternativo!$A$2:$A$400=A48)*(exercicio_alternativo!$G$2:$G$400=TRUE()))</f>
        <v>1</v>
      </c>
      <c r="E48" s="11" t="str">
        <f aca="false">IF(AND(C48&gt;=2,C48&lt;=4,D48&gt;=1),"OK",IF(AND(C48&gt;=2,C48&lt;=4),"FALTA ALTERNATIVA SEM EQUIPAMENTO","FORA DE 2 A 4 ALTERNATIVAS"))</f>
        <v>OK</v>
      </c>
    </row>
    <row r="49" customFormat="false" ht="15" hidden="false" customHeight="false" outlineLevel="0" collapsed="false">
      <c r="A49" s="6" t="n">
        <v>48</v>
      </c>
      <c r="B49" s="9" t="str">
        <f aca="false">IFERROR(INDEX(exercicio!$B$2:$B$190,MATCH(A49,exercicio!$A$2:$A$190,0)),"")</f>
        <v>Agachamento Búlgaro</v>
      </c>
      <c r="C49" s="9" t="n">
        <f aca="false">COUNTIF(exercicio_alternativo!$A$2:$A$400,A49)</f>
        <v>3</v>
      </c>
      <c r="D49" s="9" t="n">
        <f aca="false">SUMPRODUCT((exercicio_alternativo!$A$2:$A$400=A49)*(exercicio_alternativo!$G$2:$G$400=TRUE()))</f>
        <v>2</v>
      </c>
      <c r="E49" s="11" t="str">
        <f aca="false">IF(AND(C49&gt;=2,C49&lt;=4,D49&gt;=1),"OK",IF(AND(C49&gt;=2,C49&lt;=4),"FALTA ALTERNATIVA SEM EQUIPAMENTO","FORA DE 2 A 4 ALTERNATIVAS"))</f>
        <v>OK</v>
      </c>
    </row>
    <row r="50" customFormat="false" ht="15" hidden="false" customHeight="false" outlineLevel="0" collapsed="false">
      <c r="A50" s="6" t="n">
        <v>49</v>
      </c>
      <c r="B50" s="9" t="str">
        <f aca="false">IFERROR(INDEX(exercicio!$B$2:$B$190,MATCH(A50,exercicio!$A$2:$A$190,0)),"")</f>
        <v>Cadeira Flexora</v>
      </c>
      <c r="C50" s="9" t="n">
        <f aca="false">COUNTIF(exercicio_alternativo!$A$2:$A$400,A50)</f>
        <v>4</v>
      </c>
      <c r="D50" s="9" t="n">
        <f aca="false">SUMPRODUCT((exercicio_alternativo!$A$2:$A$400=A50)*(exercicio_alternativo!$G$2:$G$400=TRUE()))</f>
        <v>2</v>
      </c>
      <c r="E50" s="11" t="str">
        <f aca="false">IF(AND(C50&gt;=2,C50&lt;=4,D50&gt;=1),"OK",IF(AND(C50&gt;=2,C50&lt;=4),"FALTA ALTERNATIVA SEM EQUIPAMENTO","FORA DE 2 A 4 ALTERNATIVAS"))</f>
        <v>OK</v>
      </c>
    </row>
    <row r="51" customFormat="false" ht="15" hidden="false" customHeight="false" outlineLevel="0" collapsed="false">
      <c r="A51" s="6" t="n">
        <v>50</v>
      </c>
      <c r="B51" s="9" t="str">
        <f aca="false">IFERROR(INDEX(exercicio!$B$2:$B$190,MATCH(A51,exercicio!$A$2:$A$190,0)),"")</f>
        <v>Stiff</v>
      </c>
      <c r="C51" s="9" t="n">
        <f aca="false">COUNTIF(exercicio_alternativo!$A$2:$A$400,A51)</f>
        <v>4</v>
      </c>
      <c r="D51" s="9" t="n">
        <f aca="false">SUMPRODUCT((exercicio_alternativo!$A$2:$A$400=A51)*(exercicio_alternativo!$G$2:$G$400=TRUE()))</f>
        <v>2</v>
      </c>
      <c r="E51" s="11" t="str">
        <f aca="false">IF(AND(C51&gt;=2,C51&lt;=4,D51&gt;=1),"OK",IF(AND(C51&gt;=2,C51&lt;=4),"FALTA ALTERNATIVA SEM EQUIPAMENTO","FORA DE 2 A 4 ALTERNATIVAS"))</f>
        <v>OK</v>
      </c>
    </row>
    <row r="52" customFormat="false" ht="15" hidden="false" customHeight="false" outlineLevel="0" collapsed="false">
      <c r="A52" s="6" t="n">
        <v>51</v>
      </c>
      <c r="B52" s="9" t="str">
        <f aca="false">IFERROR(INDEX(exercicio!$B$2:$B$190,MATCH(A52,exercicio!$A$2:$A$190,0)),"")</f>
        <v>Stiff Unilateral</v>
      </c>
      <c r="C52" s="9" t="n">
        <f aca="false">COUNTIF(exercicio_alternativo!$A$2:$A$400,A52)</f>
        <v>3</v>
      </c>
      <c r="D52" s="9" t="n">
        <f aca="false">SUMPRODUCT((exercicio_alternativo!$A$2:$A$400=A52)*(exercicio_alternativo!$G$2:$G$400=TRUE()))</f>
        <v>1</v>
      </c>
      <c r="E52" s="11" t="str">
        <f aca="false">IF(AND(C52&gt;=2,C52&lt;=4,D52&gt;=1),"OK",IF(AND(C52&gt;=2,C52&lt;=4),"FALTA ALTERNATIVA SEM EQUIPAMENTO","FORA DE 2 A 4 ALTERNATIVAS"))</f>
        <v>OK</v>
      </c>
    </row>
    <row r="53" customFormat="false" ht="15" hidden="false" customHeight="false" outlineLevel="0" collapsed="false">
      <c r="A53" s="6" t="n">
        <v>52</v>
      </c>
      <c r="B53" s="9" t="str">
        <f aca="false">IFERROR(INDEX(exercicio!$B$2:$B$190,MATCH(A53,exercicio!$A$2:$A$190,0)),"")</f>
        <v>Levantamento Terra</v>
      </c>
      <c r="C53" s="9" t="n">
        <f aca="false">COUNTIF(exercicio_alternativo!$A$2:$A$400,A53)</f>
        <v>4</v>
      </c>
      <c r="D53" s="9" t="n">
        <f aca="false">SUMPRODUCT((exercicio_alternativo!$A$2:$A$400=A53)*(exercicio_alternativo!$G$2:$G$400=TRUE()))</f>
        <v>2</v>
      </c>
      <c r="E53" s="11" t="str">
        <f aca="false">IF(AND(C53&gt;=2,C53&lt;=4,D53&gt;=1),"OK",IF(AND(C53&gt;=2,C53&lt;=4),"FALTA ALTERNATIVA SEM EQUIPAMENTO","FORA DE 2 A 4 ALTERNATIVAS"))</f>
        <v>OK</v>
      </c>
    </row>
    <row r="54" customFormat="false" ht="15" hidden="false" customHeight="false" outlineLevel="0" collapsed="false">
      <c r="A54" s="6" t="n">
        <v>53</v>
      </c>
      <c r="B54" s="9" t="str">
        <f aca="false">IFERROR(INDEX(exercicio!$B$2:$B$190,MATCH(A54,exercicio!$A$2:$A$190,0)),"")</f>
        <v>Elevação Pélvica com Peso do Corpo</v>
      </c>
      <c r="C54" s="9" t="n">
        <f aca="false">COUNTIF(exercicio_alternativo!$A$2:$A$400,A54)</f>
        <v>3</v>
      </c>
      <c r="D54" s="9" t="n">
        <f aca="false">SUMPRODUCT((exercicio_alternativo!$A$2:$A$400=A54)*(exercicio_alternativo!$G$2:$G$400=TRUE()))</f>
        <v>2</v>
      </c>
      <c r="E54" s="11" t="str">
        <f aca="false">IF(AND(C54&gt;=2,C54&lt;=4,D54&gt;=1),"OK",IF(AND(C54&gt;=2,C54&lt;=4),"FALTA ALTERNATIVA SEM EQUIPAMENTO","FORA DE 2 A 4 ALTERNATIVAS"))</f>
        <v>OK</v>
      </c>
    </row>
    <row r="55" customFormat="false" ht="15" hidden="false" customHeight="false" outlineLevel="0" collapsed="false">
      <c r="A55" s="6" t="n">
        <v>54</v>
      </c>
      <c r="B55" s="9" t="str">
        <f aca="false">IFERROR(INDEX(exercicio!$B$2:$B$190,MATCH(A55,exercicio!$A$2:$A$190,0)),"")</f>
        <v>Elevação Pélvica com Barra</v>
      </c>
      <c r="C55" s="9" t="n">
        <f aca="false">COUNTIF(exercicio_alternativo!$A$2:$A$400,A55)</f>
        <v>3</v>
      </c>
      <c r="D55" s="9" t="n">
        <f aca="false">SUMPRODUCT((exercicio_alternativo!$A$2:$A$400=A55)*(exercicio_alternativo!$G$2:$G$400=TRUE()))</f>
        <v>2</v>
      </c>
      <c r="E55" s="11" t="str">
        <f aca="false">IF(AND(C55&gt;=2,C55&lt;=4,D55&gt;=1),"OK",IF(AND(C55&gt;=2,C55&lt;=4),"FALTA ALTERNATIVA SEM EQUIPAMENTO","FORA DE 2 A 4 ALTERNATIVAS"))</f>
        <v>OK</v>
      </c>
    </row>
    <row r="56" customFormat="false" ht="15" hidden="false" customHeight="false" outlineLevel="0" collapsed="false">
      <c r="A56" s="6" t="n">
        <v>55</v>
      </c>
      <c r="B56" s="9" t="str">
        <f aca="false">IFERROR(INDEX(exercicio!$B$2:$B$190,MATCH(A56,exercicio!$A$2:$A$190,0)),"")</f>
        <v>Elevação de Panturrilha em Pé com Peso do Corpo</v>
      </c>
      <c r="C56" s="9" t="n">
        <f aca="false">COUNTIF(exercicio_alternativo!$A$2:$A$400,A56)</f>
        <v>3</v>
      </c>
      <c r="D56" s="9" t="n">
        <f aca="false">SUMPRODUCT((exercicio_alternativo!$A$2:$A$400=A56)*(exercicio_alternativo!$G$2:$G$400=TRUE()))</f>
        <v>1</v>
      </c>
      <c r="E56" s="11" t="str">
        <f aca="false">IF(AND(C56&gt;=2,C56&lt;=4,D56&gt;=1),"OK",IF(AND(C56&gt;=2,C56&lt;=4),"FALTA ALTERNATIVA SEM EQUIPAMENTO","FORA DE 2 A 4 ALTERNATIVAS"))</f>
        <v>OK</v>
      </c>
    </row>
    <row r="57" customFormat="false" ht="15" hidden="false" customHeight="false" outlineLevel="0" collapsed="false">
      <c r="A57" s="6" t="n">
        <v>56</v>
      </c>
      <c r="B57" s="9" t="str">
        <f aca="false">IFERROR(INDEX(exercicio!$B$2:$B$190,MATCH(A57,exercicio!$A$2:$A$190,0)),"")</f>
        <v>Elevação de Panturrilha Unilateral com Peso do Corpo</v>
      </c>
      <c r="C57" s="9" t="n">
        <f aca="false">COUNTIF(exercicio_alternativo!$A$2:$A$400,A57)</f>
        <v>3</v>
      </c>
      <c r="D57" s="9" t="n">
        <f aca="false">SUMPRODUCT((exercicio_alternativo!$A$2:$A$400=A57)*(exercicio_alternativo!$G$2:$G$400=TRUE()))</f>
        <v>1</v>
      </c>
      <c r="E57" s="11" t="str">
        <f aca="false">IF(AND(C57&gt;=2,C57&lt;=4,D57&gt;=1),"OK",IF(AND(C57&gt;=2,C57&lt;=4),"FALTA ALTERNATIVA SEM EQUIPAMENTO","FORA DE 2 A 4 ALTERNATIVAS"))</f>
        <v>OK</v>
      </c>
    </row>
    <row r="58" customFormat="false" ht="15" hidden="false" customHeight="false" outlineLevel="0" collapsed="false">
      <c r="A58" s="6" t="n">
        <v>57</v>
      </c>
      <c r="B58" s="9" t="str">
        <f aca="false">IFERROR(INDEX(exercicio!$B$2:$B$190,MATCH(A58,exercicio!$A$2:$A$190,0)),"")</f>
        <v>Elevação de Panturrilha em Pé na Máquina</v>
      </c>
      <c r="C58" s="9" t="n">
        <f aca="false">COUNTIF(exercicio_alternativo!$A$2:$A$400,A58)</f>
        <v>4</v>
      </c>
      <c r="D58" s="9" t="n">
        <f aca="false">SUMPRODUCT((exercicio_alternativo!$A$2:$A$400=A58)*(exercicio_alternativo!$G$2:$G$400=TRUE()))</f>
        <v>2</v>
      </c>
      <c r="E58" s="11" t="str">
        <f aca="false">IF(AND(C58&gt;=2,C58&lt;=4,D58&gt;=1),"OK",IF(AND(C58&gt;=2,C58&lt;=4),"FALTA ALTERNATIVA SEM EQUIPAMENTO","FORA DE 2 A 4 ALTERNATIVAS"))</f>
        <v>OK</v>
      </c>
    </row>
    <row r="59" customFormat="false" ht="15" hidden="false" customHeight="false" outlineLevel="0" collapsed="false">
      <c r="A59" s="6" t="n">
        <v>58</v>
      </c>
      <c r="B59" s="9" t="str">
        <f aca="false">IFERROR(INDEX(exercicio!$B$2:$B$190,MATCH(A59,exercicio!$A$2:$A$190,0)),"")</f>
        <v>Elevação de Panturrilha com Barra</v>
      </c>
      <c r="C59" s="9" t="n">
        <f aca="false">COUNTIF(exercicio_alternativo!$A$2:$A$400,A59)</f>
        <v>3</v>
      </c>
      <c r="D59" s="9" t="n">
        <f aca="false">SUMPRODUCT((exercicio_alternativo!$A$2:$A$400=A59)*(exercicio_alternativo!$G$2:$G$400=TRUE()))</f>
        <v>2</v>
      </c>
      <c r="E59" s="11" t="str">
        <f aca="false">IF(AND(C59&gt;=2,C59&lt;=4,D59&gt;=1),"OK",IF(AND(C59&gt;=2,C59&lt;=4),"FALTA ALTERNATIVA SEM EQUIPAMENTO","FORA DE 2 A 4 ALTERNATIVAS"))</f>
        <v>OK</v>
      </c>
    </row>
    <row r="60" customFormat="false" ht="15" hidden="false" customHeight="false" outlineLevel="0" collapsed="false">
      <c r="A60" s="6" t="n">
        <v>59</v>
      </c>
      <c r="B60" s="9" t="str">
        <f aca="false">IFERROR(INDEX(exercicio!$B$2:$B$190,MATCH(A60,exercicio!$A$2:$A$190,0)),"")</f>
        <v>Prancha</v>
      </c>
      <c r="C60" s="9" t="n">
        <f aca="false">COUNTIF(exercicio_alternativo!$A$2:$A$400,A60)</f>
        <v>4</v>
      </c>
      <c r="D60" s="9" t="n">
        <f aca="false">SUMPRODUCT((exercicio_alternativo!$A$2:$A$400=A60)*(exercicio_alternativo!$G$2:$G$400=TRUE()))</f>
        <v>3</v>
      </c>
      <c r="E60" s="11" t="str">
        <f aca="false">IF(AND(C60&gt;=2,C60&lt;=4,D60&gt;=1),"OK",IF(AND(C60&gt;=2,C60&lt;=4),"FALTA ALTERNATIVA SEM EQUIPAMENTO","FORA DE 2 A 4 ALTERNATIVAS"))</f>
        <v>OK</v>
      </c>
    </row>
    <row r="61" customFormat="false" ht="15" hidden="false" customHeight="false" outlineLevel="0" collapsed="false">
      <c r="A61" s="6" t="n">
        <v>60</v>
      </c>
      <c r="B61" s="9" t="str">
        <f aca="false">IFERROR(INDEX(exercicio!$B$2:$B$190,MATCH(A61,exercicio!$A$2:$A$190,0)),"")</f>
        <v>Abdominal Supra</v>
      </c>
      <c r="C61" s="9" t="n">
        <f aca="false">COUNTIF(exercicio_alternativo!$A$2:$A$400,A61)</f>
        <v>4</v>
      </c>
      <c r="D61" s="9" t="n">
        <f aca="false">SUMPRODUCT((exercicio_alternativo!$A$2:$A$400=A61)*(exercicio_alternativo!$G$2:$G$400=TRUE()))</f>
        <v>2</v>
      </c>
      <c r="E61" s="11" t="str">
        <f aca="false">IF(AND(C61&gt;=2,C61&lt;=4,D61&gt;=1),"OK",IF(AND(C61&gt;=2,C61&lt;=4),"FALTA ALTERNATIVA SEM EQUIPAMENTO","FORA DE 2 A 4 ALTERNATIVAS"))</f>
        <v>OK</v>
      </c>
    </row>
    <row r="62" customFormat="false" ht="15" hidden="false" customHeight="false" outlineLevel="0" collapsed="false">
      <c r="A62" s="6" t="n">
        <v>61</v>
      </c>
      <c r="B62" s="9" t="str">
        <f aca="false">IFERROR(INDEX(exercicio!$B$2:$B$190,MATCH(A62,exercicio!$A$2:$A$190,0)),"")</f>
        <v>Elevação de Pernas</v>
      </c>
      <c r="C62" s="9" t="n">
        <f aca="false">COUNTIF(exercicio_alternativo!$A$2:$A$400,A62)</f>
        <v>3</v>
      </c>
      <c r="D62" s="9" t="n">
        <f aca="false">SUMPRODUCT((exercicio_alternativo!$A$2:$A$400=A62)*(exercicio_alternativo!$G$2:$G$400=TRUE()))</f>
        <v>2</v>
      </c>
      <c r="E62" s="11" t="str">
        <f aca="false">IF(AND(C62&gt;=2,C62&lt;=4,D62&gt;=1),"OK",IF(AND(C62&gt;=2,C62&lt;=4),"FALTA ALTERNATIVA SEM EQUIPAMENTO","FORA DE 2 A 4 ALTERNATIVAS"))</f>
        <v>OK</v>
      </c>
    </row>
    <row r="63" customFormat="false" ht="15" hidden="false" customHeight="false" outlineLevel="0" collapsed="false">
      <c r="A63" s="6" t="n">
        <v>62</v>
      </c>
      <c r="B63" s="9" t="str">
        <f aca="false">IFERROR(INDEX(exercicio!$B$2:$B$190,MATCH(A63,exercicio!$A$2:$A$190,0)),"")</f>
        <v>Escalador</v>
      </c>
      <c r="C63" s="9" t="n">
        <f aca="false">COUNTIF(exercicio_alternativo!$A$2:$A$400,A63)</f>
        <v>3</v>
      </c>
      <c r="D63" s="9" t="n">
        <f aca="false">SUMPRODUCT((exercicio_alternativo!$A$2:$A$400=A63)*(exercicio_alternativo!$G$2:$G$400=TRUE()))</f>
        <v>3</v>
      </c>
      <c r="E63" s="11" t="str">
        <f aca="false">IF(AND(C63&gt;=2,C63&lt;=4,D63&gt;=1),"OK",IF(AND(C63&gt;=2,C63&lt;=4),"FALTA ALTERNATIVA SEM EQUIPAMENTO","FORA DE 2 A 4 ALTERNATIVAS"))</f>
        <v>OK</v>
      </c>
    </row>
    <row r="64" customFormat="false" ht="15" hidden="false" customHeight="false" outlineLevel="0" collapsed="false">
      <c r="A64" s="6" t="n">
        <v>63</v>
      </c>
      <c r="B64" s="9" t="str">
        <f aca="false">IFERROR(INDEX(exercicio!$B$2:$B$190,MATCH(A64,exercicio!$A$2:$A$190,0)),"")</f>
        <v>Abdominal na Polia Alta</v>
      </c>
      <c r="C64" s="9" t="n">
        <f aca="false">COUNTIF(exercicio_alternativo!$A$2:$A$400,A64)</f>
        <v>4</v>
      </c>
      <c r="D64" s="9" t="n">
        <f aca="false">SUMPRODUCT((exercicio_alternativo!$A$2:$A$400=A64)*(exercicio_alternativo!$G$2:$G$400=TRUE()))</f>
        <v>2</v>
      </c>
      <c r="E64" s="11" t="str">
        <f aca="false">IF(AND(C64&gt;=2,C64&lt;=4,D64&gt;=1),"OK",IF(AND(C64&gt;=2,C64&lt;=4),"FALTA ALTERNATIVA SEM EQUIPAMENTO","FORA DE 2 A 4 ALTERNATIVAS"))</f>
        <v>OK</v>
      </c>
    </row>
    <row r="65" customFormat="false" ht="15" hidden="false" customHeight="false" outlineLevel="0" collapsed="false">
      <c r="A65" s="6" t="n">
        <v>64</v>
      </c>
      <c r="B65" s="9" t="str">
        <f aca="false">IFERROR(INDEX(exercicio!$B$2:$B$190,MATCH(A65,exercicio!$A$2:$A$190,0)),"")</f>
        <v>Abdominal na Máquina</v>
      </c>
      <c r="C65" s="9" t="n">
        <f aca="false">COUNTIF(exercicio_alternativo!$A$2:$A$400,A65)</f>
        <v>3</v>
      </c>
      <c r="D65" s="9" t="n">
        <f aca="false">SUMPRODUCT((exercicio_alternativo!$A$2:$A$400=A65)*(exercicio_alternativo!$G$2:$G$400=TRUE()))</f>
        <v>2</v>
      </c>
      <c r="E65" s="11" t="str">
        <f aca="false">IF(AND(C65&gt;=2,C65&lt;=4,D65&gt;=1),"OK",IF(AND(C65&gt;=2,C65&lt;=4),"FALTA ALTERNATIVA SEM EQUIPAMENTO","FORA DE 2 A 4 ALTERNATIVAS"))</f>
        <v>OK</v>
      </c>
    </row>
    <row r="66" customFormat="false" ht="15" hidden="false" customHeight="false" outlineLevel="0" collapsed="false">
      <c r="A66" s="6" t="n">
        <v>65</v>
      </c>
      <c r="B66" s="9" t="str">
        <f aca="false">IFERROR(INDEX(exercicio!$B$2:$B$190,MATCH(A66,exercicio!$A$2:$A$190,0)),"")</f>
        <v>Rolamento com Roda Abdominal</v>
      </c>
      <c r="C66" s="9" t="n">
        <f aca="false">COUNTIF(exercicio_alternativo!$A$2:$A$400,A66)</f>
        <v>3</v>
      </c>
      <c r="D66" s="9" t="n">
        <f aca="false">SUMPRODUCT((exercicio_alternativo!$A$2:$A$400=A66)*(exercicio_alternativo!$G$2:$G$400=TRUE()))</f>
        <v>2</v>
      </c>
      <c r="E66" s="11" t="str">
        <f aca="false">IF(AND(C66&gt;=2,C66&lt;=4,D66&gt;=1),"OK",IF(AND(C66&gt;=2,C66&lt;=4),"FALTA ALTERNATIVA SEM EQUIPAMENTO","FORA DE 2 A 4 ALTERNATIVAS"))</f>
        <v>OK</v>
      </c>
    </row>
    <row r="67" customFormat="false" ht="15" hidden="false" customHeight="false" outlineLevel="0" collapsed="false">
      <c r="A67" s="6" t="n">
        <v>66</v>
      </c>
      <c r="B67" s="9" t="str">
        <f aca="false">IFERROR(INDEX(exercicio!$B$2:$B$190,MATCH(A67,exercicio!$A$2:$A$190,0)),"")</f>
        <v>Elevação de Pernas na Cadeira Capitão</v>
      </c>
      <c r="C67" s="9" t="n">
        <f aca="false">COUNTIF(exercicio_alternativo!$A$2:$A$400,A67)</f>
        <v>3</v>
      </c>
      <c r="D67" s="9" t="n">
        <f aca="false">SUMPRODUCT((exercicio_alternativo!$A$2:$A$400=A67)*(exercicio_alternativo!$G$2:$G$400=TRUE()))</f>
        <v>2</v>
      </c>
      <c r="E67" s="11" t="str">
        <f aca="false">IF(AND(C67&gt;=2,C67&lt;=4,D67&gt;=1),"OK",IF(AND(C67&gt;=2,C67&lt;=4),"FALTA ALTERNATIVA SEM EQUIPAMENTO","FORA DE 2 A 4 ALTERNATIVAS"))</f>
        <v>OK</v>
      </c>
    </row>
    <row r="68" customFormat="false" ht="15" hidden="false" customHeight="false" outlineLevel="0" collapsed="false">
      <c r="A68" s="6" t="n">
        <v>67</v>
      </c>
      <c r="B68" s="9" t="str">
        <f aca="false">IFERROR(INDEX(exercicio!$B$2:$B$190,MATCH(A68,exercicio!$A$2:$A$190,0)),"")</f>
        <v>Supino Reto com Halteres</v>
      </c>
      <c r="C68" s="9" t="n">
        <f aca="false">COUNTIF(exercicio_alternativo!$A$2:$A$400,A68)</f>
        <v>4</v>
      </c>
      <c r="D68" s="9" t="n">
        <f aca="false">SUMPRODUCT((exercicio_alternativo!$A$2:$A$400=A68)*(exercicio_alternativo!$G$2:$G$400=TRUE()))</f>
        <v>1</v>
      </c>
      <c r="E68" s="11" t="str">
        <f aca="false">IF(AND(C68&gt;=2,C68&lt;=4,D68&gt;=1),"OK",IF(AND(C68&gt;=2,C68&lt;=4),"FALTA ALTERNATIVA SEM EQUIPAMENTO","FORA DE 2 A 4 ALTERNATIVAS"))</f>
        <v>OK</v>
      </c>
    </row>
    <row r="69" customFormat="false" ht="15" hidden="false" customHeight="false" outlineLevel="0" collapsed="false">
      <c r="A69" s="6" t="n">
        <v>68</v>
      </c>
      <c r="B69" s="9" t="str">
        <f aca="false">IFERROR(INDEX(exercicio!$B$2:$B$190,MATCH(A69,exercicio!$A$2:$A$190,0)),"")</f>
        <v>Supino Inclinado com Barra</v>
      </c>
      <c r="C69" s="9" t="n">
        <f aca="false">COUNTIF(exercicio_alternativo!$A$2:$A$400,A69)</f>
        <v>3</v>
      </c>
      <c r="D69" s="9" t="n">
        <f aca="false">SUMPRODUCT((exercicio_alternativo!$A$2:$A$400=A69)*(exercicio_alternativo!$G$2:$G$400=TRUE()))</f>
        <v>1</v>
      </c>
      <c r="E69" s="11" t="str">
        <f aca="false">IF(AND(C69&gt;=2,C69&lt;=4,D69&gt;=1),"OK",IF(AND(C69&gt;=2,C69&lt;=4),"FALTA ALTERNATIVA SEM EQUIPAMENTO","FORA DE 2 A 4 ALTERNATIVAS"))</f>
        <v>OK</v>
      </c>
    </row>
    <row r="70" customFormat="false" ht="15" hidden="false" customHeight="false" outlineLevel="0" collapsed="false">
      <c r="A70" s="6" t="n">
        <v>69</v>
      </c>
      <c r="B70" s="9" t="str">
        <f aca="false">IFERROR(INDEX(exercicio!$B$2:$B$190,MATCH(A70,exercicio!$A$2:$A$190,0)),"")</f>
        <v>Supino na Máquina</v>
      </c>
      <c r="C70" s="9" t="n">
        <f aca="false">COUNTIF(exercicio_alternativo!$A$2:$A$400,A70)</f>
        <v>3</v>
      </c>
      <c r="D70" s="9" t="n">
        <f aca="false">SUMPRODUCT((exercicio_alternativo!$A$2:$A$400=A70)*(exercicio_alternativo!$G$2:$G$400=TRUE()))</f>
        <v>1</v>
      </c>
      <c r="E70" s="11" t="str">
        <f aca="false">IF(AND(C70&gt;=2,C70&lt;=4,D70&gt;=1),"OK",IF(AND(C70&gt;=2,C70&lt;=4),"FALTA ALTERNATIVA SEM EQUIPAMENTO","FORA DE 2 A 4 ALTERNATIVAS"))</f>
        <v>OK</v>
      </c>
    </row>
    <row r="71" customFormat="false" ht="15" hidden="false" customHeight="false" outlineLevel="0" collapsed="false">
      <c r="A71" s="6" t="n">
        <v>70</v>
      </c>
      <c r="B71" s="9" t="str">
        <f aca="false">IFERROR(INDEX(exercicio!$B$2:$B$190,MATCH(A71,exercicio!$A$2:$A$190,0)),"")</f>
        <v>Supino Inclinado na Máquina</v>
      </c>
      <c r="C71" s="9" t="n">
        <f aca="false">COUNTIF(exercicio_alternativo!$A$2:$A$400,A71)</f>
        <v>3</v>
      </c>
      <c r="D71" s="9" t="n">
        <f aca="false">SUMPRODUCT((exercicio_alternativo!$A$2:$A$400=A71)*(exercicio_alternativo!$G$2:$G$400=TRUE()))</f>
        <v>1</v>
      </c>
      <c r="E71" s="11" t="str">
        <f aca="false">IF(AND(C71&gt;=2,C71&lt;=4,D71&gt;=1),"OK",IF(AND(C71&gt;=2,C71&lt;=4),"FALTA ALTERNATIVA SEM EQUIPAMENTO","FORA DE 2 A 4 ALTERNATIVAS"))</f>
        <v>OK</v>
      </c>
    </row>
    <row r="72" customFormat="false" ht="15" hidden="false" customHeight="false" outlineLevel="0" collapsed="false">
      <c r="A72" s="6" t="n">
        <v>71</v>
      </c>
      <c r="B72" s="9" t="str">
        <f aca="false">IFERROR(INDEX(exercicio!$B$2:$B$190,MATCH(A72,exercicio!$A$2:$A$190,0)),"")</f>
        <v>Crucifixo Reto com Halteres</v>
      </c>
      <c r="C72" s="9" t="n">
        <f aca="false">COUNTIF(exercicio_alternativo!$A$2:$A$400,A72)</f>
        <v>3</v>
      </c>
      <c r="D72" s="9" t="n">
        <f aca="false">SUMPRODUCT((exercicio_alternativo!$A$2:$A$400=A72)*(exercicio_alternativo!$G$2:$G$400=TRUE()))</f>
        <v>1</v>
      </c>
      <c r="E72" s="11" t="str">
        <f aca="false">IF(AND(C72&gt;=2,C72&lt;=4,D72&gt;=1),"OK",IF(AND(C72&gt;=2,C72&lt;=4),"FALTA ALTERNATIVA SEM EQUIPAMENTO","FORA DE 2 A 4 ALTERNATIVAS"))</f>
        <v>OK</v>
      </c>
    </row>
    <row r="73" customFormat="false" ht="15" hidden="false" customHeight="false" outlineLevel="0" collapsed="false">
      <c r="A73" s="6" t="n">
        <v>72</v>
      </c>
      <c r="B73" s="9" t="str">
        <f aca="false">IFERROR(INDEX(exercicio!$B$2:$B$190,MATCH(A73,exercicio!$A$2:$A$190,0)),"")</f>
        <v>Crossover na Polia</v>
      </c>
      <c r="C73" s="9" t="n">
        <f aca="false">COUNTIF(exercicio_alternativo!$A$2:$A$400,A73)</f>
        <v>3</v>
      </c>
      <c r="D73" s="9" t="n">
        <f aca="false">SUMPRODUCT((exercicio_alternativo!$A$2:$A$400=A73)*(exercicio_alternativo!$G$2:$G$400=TRUE()))</f>
        <v>1</v>
      </c>
      <c r="E73" s="11" t="str">
        <f aca="false">IF(AND(C73&gt;=2,C73&lt;=4,D73&gt;=1),"OK",IF(AND(C73&gt;=2,C73&lt;=4),"FALTA ALTERNATIVA SEM EQUIPAMENTO","FORA DE 2 A 4 ALTERNATIVAS"))</f>
        <v>OK</v>
      </c>
    </row>
    <row r="74" customFormat="false" ht="15" hidden="false" customHeight="false" outlineLevel="0" collapsed="false">
      <c r="A74" s="6" t="n">
        <v>73</v>
      </c>
      <c r="B74" s="9" t="str">
        <f aca="false">IFERROR(INDEX(exercicio!$B$2:$B$190,MATCH(A74,exercicio!$A$2:$A$190,0)),"")</f>
        <v>Elevação Lateral com Halteres</v>
      </c>
      <c r="C74" s="9" t="n">
        <f aca="false">COUNTIF(exercicio_alternativo!$A$2:$A$400,A74)</f>
        <v>3</v>
      </c>
      <c r="D74" s="9" t="n">
        <f aca="false">SUMPRODUCT((exercicio_alternativo!$A$2:$A$400=A74)*(exercicio_alternativo!$G$2:$G$400=TRUE()))</f>
        <v>1</v>
      </c>
      <c r="E74" s="11" t="str">
        <f aca="false">IF(AND(C74&gt;=2,C74&lt;=4,D74&gt;=1),"OK",IF(AND(C74&gt;=2,C74&lt;=4),"FALTA ALTERNATIVA SEM EQUIPAMENTO","FORA DE 2 A 4 ALTERNATIVAS"))</f>
        <v>OK</v>
      </c>
    </row>
    <row r="75" customFormat="false" ht="15" hidden="false" customHeight="false" outlineLevel="0" collapsed="false">
      <c r="A75" s="6" t="n">
        <v>74</v>
      </c>
      <c r="B75" s="9" t="str">
        <f aca="false">IFERROR(INDEX(exercicio!$B$2:$B$190,MATCH(A75,exercicio!$A$2:$A$190,0)),"")</f>
        <v>Desenvolvimento na Máquina</v>
      </c>
      <c r="C75" s="9" t="n">
        <f aca="false">COUNTIF(exercicio_alternativo!$A$2:$A$400,A75)</f>
        <v>3</v>
      </c>
      <c r="D75" s="9" t="n">
        <f aca="false">SUMPRODUCT((exercicio_alternativo!$A$2:$A$400=A75)*(exercicio_alternativo!$G$2:$G$400=TRUE()))</f>
        <v>1</v>
      </c>
      <c r="E75" s="11" t="str">
        <f aca="false">IF(AND(C75&gt;=2,C75&lt;=4,D75&gt;=1),"OK",IF(AND(C75&gt;=2,C75&lt;=4),"FALTA ALTERNATIVA SEM EQUIPAMENTO","FORA DE 2 A 4 ALTERNATIVAS"))</f>
        <v>OK</v>
      </c>
    </row>
    <row r="76" customFormat="false" ht="15" hidden="false" customHeight="false" outlineLevel="0" collapsed="false">
      <c r="A76" s="6" t="n">
        <v>75</v>
      </c>
      <c r="B76" s="9" t="str">
        <f aca="false">IFERROR(INDEX(exercicio!$B$2:$B$190,MATCH(A76,exercicio!$A$2:$A$190,0)),"")</f>
        <v>Elevação Frontal na Polia</v>
      </c>
      <c r="C76" s="9" t="n">
        <f aca="false">COUNTIF(exercicio_alternativo!$A$2:$A$400,A76)</f>
        <v>3</v>
      </c>
      <c r="D76" s="9" t="n">
        <f aca="false">SUMPRODUCT((exercicio_alternativo!$A$2:$A$400=A76)*(exercicio_alternativo!$G$2:$G$400=TRUE()))</f>
        <v>1</v>
      </c>
      <c r="E76" s="11" t="str">
        <f aca="false">IF(AND(C76&gt;=2,C76&lt;=4,D76&gt;=1),"OK",IF(AND(C76&gt;=2,C76&lt;=4),"FALTA ALTERNATIVA SEM EQUIPAMENTO","FORA DE 2 A 4 ALTERNATIVAS"))</f>
        <v>OK</v>
      </c>
    </row>
    <row r="77" customFormat="false" ht="15" hidden="false" customHeight="false" outlineLevel="0" collapsed="false">
      <c r="A77" s="6" t="n">
        <v>76</v>
      </c>
      <c r="B77" s="9" t="str">
        <f aca="false">IFERROR(INDEX(exercicio!$B$2:$B$190,MATCH(A77,exercicio!$A$2:$A$190,0)),"")</f>
        <v>Puxada Alta com Triângulo</v>
      </c>
      <c r="C77" s="9" t="n">
        <f aca="false">COUNTIF(exercicio_alternativo!$A$2:$A$400,A77)</f>
        <v>3</v>
      </c>
      <c r="D77" s="9" t="n">
        <f aca="false">SUMPRODUCT((exercicio_alternativo!$A$2:$A$400=A77)*(exercicio_alternativo!$G$2:$G$400=TRUE()))</f>
        <v>1</v>
      </c>
      <c r="E77" s="11" t="str">
        <f aca="false">IF(AND(C77&gt;=2,C77&lt;=4,D77&gt;=1),"OK",IF(AND(C77&gt;=2,C77&lt;=4),"FALTA ALTERNATIVA SEM EQUIPAMENTO","FORA DE 2 A 4 ALTERNATIVAS"))</f>
        <v>OK</v>
      </c>
    </row>
    <row r="78" customFormat="false" ht="15" hidden="false" customHeight="false" outlineLevel="0" collapsed="false">
      <c r="A78" s="6" t="n">
        <v>77</v>
      </c>
      <c r="B78" s="9" t="str">
        <f aca="false">IFERROR(INDEX(exercicio!$B$2:$B$190,MATCH(A78,exercicio!$A$2:$A$190,0)),"")</f>
        <v>Remada Cavalinho</v>
      </c>
      <c r="C78" s="9" t="n">
        <f aca="false">COUNTIF(exercicio_alternativo!$A$2:$A$400,A78)</f>
        <v>4</v>
      </c>
      <c r="D78" s="9" t="n">
        <f aca="false">SUMPRODUCT((exercicio_alternativo!$A$2:$A$400=A78)*(exercicio_alternativo!$G$2:$G$400=TRUE()))</f>
        <v>1</v>
      </c>
      <c r="E78" s="11" t="str">
        <f aca="false">IF(AND(C78&gt;=2,C78&lt;=4,D78&gt;=1),"OK",IF(AND(C78&gt;=2,C78&lt;=4),"FALTA ALTERNATIVA SEM EQUIPAMENTO","FORA DE 2 A 4 ALTERNATIVAS"))</f>
        <v>OK</v>
      </c>
    </row>
    <row r="79" customFormat="false" ht="15" hidden="false" customHeight="false" outlineLevel="0" collapsed="false">
      <c r="A79" s="6" t="n">
        <v>78</v>
      </c>
      <c r="B79" s="9" t="str">
        <f aca="false">IFERROR(INDEX(exercicio!$B$2:$B$190,MATCH(A79,exercicio!$A$2:$A$190,0)),"")</f>
        <v>Rosca Martelo</v>
      </c>
      <c r="C79" s="9" t="n">
        <f aca="false">COUNTIF(exercicio_alternativo!$A$2:$A$400,A79)</f>
        <v>3</v>
      </c>
      <c r="D79" s="9" t="n">
        <f aca="false">SUMPRODUCT((exercicio_alternativo!$A$2:$A$400=A79)*(exercicio_alternativo!$G$2:$G$400=TRUE()))</f>
        <v>1</v>
      </c>
      <c r="E79" s="11" t="str">
        <f aca="false">IF(AND(C79&gt;=2,C79&lt;=4,D79&gt;=1),"OK",IF(AND(C79&gt;=2,C79&lt;=4),"FALTA ALTERNATIVA SEM EQUIPAMENTO","FORA DE 2 A 4 ALTERNATIVAS"))</f>
        <v>OK</v>
      </c>
    </row>
    <row r="80" customFormat="false" ht="15" hidden="false" customHeight="false" outlineLevel="0" collapsed="false">
      <c r="A80" s="6" t="n">
        <v>79</v>
      </c>
      <c r="B80" s="9" t="str">
        <f aca="false">IFERROR(INDEX(exercicio!$B$2:$B$190,MATCH(A80,exercicio!$A$2:$A$190,0)),"")</f>
        <v>Rosca por Trás do Corpo na Polia</v>
      </c>
      <c r="C80" s="9" t="n">
        <f aca="false">COUNTIF(exercicio_alternativo!$A$2:$A$400,A80)</f>
        <v>3</v>
      </c>
      <c r="D80" s="9" t="n">
        <f aca="false">SUMPRODUCT((exercicio_alternativo!$A$2:$A$400=A80)*(exercicio_alternativo!$G$2:$G$400=TRUE()))</f>
        <v>1</v>
      </c>
      <c r="E80" s="11" t="str">
        <f aca="false">IF(AND(C80&gt;=2,C80&lt;=4,D80&gt;=1),"OK",IF(AND(C80&gt;=2,C80&lt;=4),"FALTA ALTERNATIVA SEM EQUIPAMENTO","FORA DE 2 A 4 ALTERNATIVAS"))</f>
        <v>OK</v>
      </c>
    </row>
    <row r="81" customFormat="false" ht="15" hidden="false" customHeight="false" outlineLevel="0" collapsed="false">
      <c r="A81" s="6" t="n">
        <v>80</v>
      </c>
      <c r="B81" s="9" t="str">
        <f aca="false">IFERROR(INDEX(exercicio!$B$2:$B$190,MATCH(A81,exercicio!$A$2:$A$190,0)),"")</f>
        <v>Tríceps Testa com Barra W</v>
      </c>
      <c r="C81" s="9" t="n">
        <f aca="false">COUNTIF(exercicio_alternativo!$A$2:$A$400,A81)</f>
        <v>3</v>
      </c>
      <c r="D81" s="9" t="n">
        <f aca="false">SUMPRODUCT((exercicio_alternativo!$A$2:$A$400=A81)*(exercicio_alternativo!$G$2:$G$400=TRUE()))</f>
        <v>1</v>
      </c>
      <c r="E81" s="11" t="str">
        <f aca="false">IF(AND(C81&gt;=2,C81&lt;=4,D81&gt;=1),"OK",IF(AND(C81&gt;=2,C81&lt;=4),"FALTA ALTERNATIVA SEM EQUIPAMENTO","FORA DE 2 A 4 ALTERNATIVAS"))</f>
        <v>OK</v>
      </c>
    </row>
    <row r="82" customFormat="false" ht="15" hidden="false" customHeight="false" outlineLevel="0" collapsed="false">
      <c r="A82" s="6" t="n">
        <v>81</v>
      </c>
      <c r="B82" s="9" t="str">
        <f aca="false">IFERROR(INDEX(exercicio!$B$2:$B$190,MATCH(A82,exercicio!$A$2:$A$190,0)),"")</f>
        <v>Agachamento no Smith</v>
      </c>
      <c r="C82" s="9" t="n">
        <f aca="false">COUNTIF(exercicio_alternativo!$A$2:$A$400,A82)</f>
        <v>4</v>
      </c>
      <c r="D82" s="9" t="n">
        <f aca="false">SUMPRODUCT((exercicio_alternativo!$A$2:$A$400=A82)*(exercicio_alternativo!$G$2:$G$400=TRUE()))</f>
        <v>1</v>
      </c>
      <c r="E82" s="11" t="str">
        <f aca="false">IF(AND(C82&gt;=2,C82&lt;=4,D82&gt;=1),"OK",IF(AND(C82&gt;=2,C82&lt;=4),"FALTA ALTERNATIVA SEM EQUIPAMENTO","FORA DE 2 A 4 ALTERNATIVAS"))</f>
        <v>OK</v>
      </c>
    </row>
    <row r="83" customFormat="false" ht="15" hidden="false" customHeight="false" outlineLevel="0" collapsed="false">
      <c r="A83" s="6" t="n">
        <v>82</v>
      </c>
      <c r="B83" s="9" t="str">
        <f aca="false">IFERROR(INDEX(exercicio!$B$2:$B$190,MATCH(A83,exercicio!$A$2:$A$190,0)),"")</f>
        <v>Agachamento Hack</v>
      </c>
      <c r="C83" s="9" t="n">
        <f aca="false">COUNTIF(exercicio_alternativo!$A$2:$A$400,A83)</f>
        <v>3</v>
      </c>
      <c r="D83" s="9" t="n">
        <f aca="false">SUMPRODUCT((exercicio_alternativo!$A$2:$A$400=A83)*(exercicio_alternativo!$G$2:$G$400=TRUE()))</f>
        <v>1</v>
      </c>
      <c r="E83" s="11" t="str">
        <f aca="false">IF(AND(C83&gt;=2,C83&lt;=4,D83&gt;=1),"OK",IF(AND(C83&gt;=2,C83&lt;=4),"FALTA ALTERNATIVA SEM EQUIPAMENTO","FORA DE 2 A 4 ALTERNATIVAS"))</f>
        <v>OK</v>
      </c>
    </row>
    <row r="84" customFormat="false" ht="15" hidden="false" customHeight="false" outlineLevel="0" collapsed="false">
      <c r="A84" s="6" t="n">
        <v>83</v>
      </c>
      <c r="B84" s="9" t="str">
        <f aca="false">IFERROR(INDEX(exercicio!$B$2:$B$190,MATCH(A84,exercicio!$A$2:$A$190,0)),"")</f>
        <v>Mesa Flexora</v>
      </c>
      <c r="C84" s="9" t="n">
        <f aca="false">COUNTIF(exercicio_alternativo!$A$2:$A$400,A84)</f>
        <v>3</v>
      </c>
      <c r="D84" s="9" t="n">
        <f aca="false">SUMPRODUCT((exercicio_alternativo!$A$2:$A$400=A84)*(exercicio_alternativo!$G$2:$G$400=TRUE()))</f>
        <v>1</v>
      </c>
      <c r="E84" s="11" t="str">
        <f aca="false">IF(AND(C84&gt;=2,C84&lt;=4,D84&gt;=1),"OK",IF(AND(C84&gt;=2,C84&lt;=4),"FALTA ALTERNATIVA SEM EQUIPAMENTO","FORA DE 2 A 4 ALTERNATIVAS"))</f>
        <v>OK</v>
      </c>
    </row>
    <row r="85" customFormat="false" ht="15" hidden="false" customHeight="false" outlineLevel="0" collapsed="false">
      <c r="A85" s="6" t="n">
        <v>84</v>
      </c>
      <c r="B85" s="9" t="str">
        <f aca="false">IFERROR(INDEX(exercicio!$B$2:$B$190,MATCH(A85,exercicio!$A$2:$A$190,0)),"")</f>
        <v>Elevação de Panturrilha Sentado</v>
      </c>
      <c r="C85" s="9" t="n">
        <f aca="false">COUNTIF(exercicio_alternativo!$A$2:$A$400,A85)</f>
        <v>3</v>
      </c>
      <c r="D85" s="9" t="n">
        <f aca="false">SUMPRODUCT((exercicio_alternativo!$A$2:$A$400=A85)*(exercicio_alternativo!$G$2:$G$400=TRUE()))</f>
        <v>2</v>
      </c>
      <c r="E85" s="11" t="str">
        <f aca="false">IF(AND(C85&gt;=2,C85&lt;=4,D85&gt;=1),"OK",IF(AND(C85&gt;=2,C85&lt;=4),"FALTA ALTERNATIVA SEM EQUIPAMENTO","FORA DE 2 A 4 ALTERNATIVAS"))</f>
        <v>OK</v>
      </c>
    </row>
    <row r="86" customFormat="false" ht="15" hidden="false" customHeight="false" outlineLevel="0" collapsed="false">
      <c r="A86" s="6" t="n">
        <v>85</v>
      </c>
      <c r="B86" s="9" t="str">
        <f aca="false">IFERROR(INDEX(exercicio!$B$2:$B$190,MATCH(A86,exercicio!$A$2:$A$190,0)),"")</f>
        <v>Cadeira Adutora</v>
      </c>
      <c r="C86" s="9" t="n">
        <f aca="false">COUNTIF(exercicio_alternativo!$A$2:$A$400,A86)</f>
        <v>2</v>
      </c>
      <c r="D86" s="9" t="n">
        <f aca="false">SUMPRODUCT((exercicio_alternativo!$A$2:$A$400=A86)*(exercicio_alternativo!$G$2:$G$400=TRUE()))</f>
        <v>2</v>
      </c>
      <c r="E86" s="11" t="str">
        <f aca="false">IF(AND(C86&gt;=2,C86&lt;=4,D86&gt;=1),"OK",IF(AND(C86&gt;=2,C86&lt;=4),"FALTA ALTERNATIVA SEM EQUIPAMENTO","FORA DE 2 A 4 ALTERNATIVAS"))</f>
        <v>OK</v>
      </c>
    </row>
    <row r="87" customFormat="false" ht="15" hidden="false" customHeight="false" outlineLevel="0" collapsed="false">
      <c r="A87" s="6" t="n">
        <v>86</v>
      </c>
      <c r="B87" s="9" t="str">
        <f aca="false">IFERROR(INDEX(exercicio!$B$2:$B$190,MATCH(A87,exercicio!$A$2:$A$190,0)),"")</f>
        <v>Cadeira Abdutora</v>
      </c>
      <c r="C87" s="9" t="n">
        <f aca="false">COUNTIF(exercicio_alternativo!$A$2:$A$400,A87)</f>
        <v>3</v>
      </c>
      <c r="D87" s="9" t="n">
        <f aca="false">SUMPRODUCT((exercicio_alternativo!$A$2:$A$400=A87)*(exercicio_alternativo!$G$2:$G$400=TRUE()))</f>
        <v>2</v>
      </c>
      <c r="E87" s="11" t="str">
        <f aca="false">IF(AND(C87&gt;=2,C87&lt;=4,D87&gt;=1),"OK",IF(AND(C87&gt;=2,C87&lt;=4),"FALTA ALTERNATIVA SEM EQUIPAMENTO","FORA DE 2 A 4 ALTERNATIVAS"))</f>
        <v>OK</v>
      </c>
    </row>
    <row r="88" customFormat="false" ht="15" hidden="false" customHeight="false" outlineLevel="0" collapsed="false">
      <c r="A88" s="6" t="n">
        <v>87</v>
      </c>
      <c r="B88" s="9" t="str">
        <f aca="false">IFERROR(INDEX(exercicio!$B$2:$B$190,MATCH(A88,exercicio!$A$2:$A$190,0)),"")</f>
        <v>Abdução de Quadril Deitado de Lado</v>
      </c>
      <c r="C88" s="9" t="n">
        <f aca="false">COUNTIF(exercicio_alternativo!$A$2:$A$400,A88)</f>
        <v>2</v>
      </c>
      <c r="D88" s="9" t="n">
        <f aca="false">SUMPRODUCT((exercicio_alternativo!$A$2:$A$400=A88)*(exercicio_alternativo!$G$2:$G$400=TRUE()))</f>
        <v>1</v>
      </c>
      <c r="E88" s="11" t="str">
        <f aca="false">IF(AND(C88&gt;=2,C88&lt;=4,D88&gt;=1),"OK",IF(AND(C88&gt;=2,C88&lt;=4),"FALTA ALTERNATIVA SEM EQUIPAMENTO","FORA DE 2 A 4 ALTERNATIVAS"))</f>
        <v>OK</v>
      </c>
    </row>
    <row r="89" customFormat="false" ht="15" hidden="false" customHeight="false" outlineLevel="0" collapsed="false">
      <c r="A89" s="6" t="n">
        <v>88</v>
      </c>
      <c r="B89" s="9" t="str">
        <f aca="false">IFERROR(INDEX(exercicio!$B$2:$B$190,MATCH(A89,exercicio!$A$2:$A$190,0)),"")</f>
        <v>Adução de Quadril Deitado de Lado</v>
      </c>
      <c r="C89" s="9" t="n">
        <f aca="false">COUNTIF(exercicio_alternativo!$A$2:$A$400,A89)</f>
        <v>2</v>
      </c>
      <c r="D89" s="9" t="n">
        <f aca="false">SUMPRODUCT((exercicio_alternativo!$A$2:$A$400=A89)*(exercicio_alternativo!$G$2:$G$400=TRUE()))</f>
        <v>1</v>
      </c>
      <c r="E89" s="11" t="str">
        <f aca="false">IF(AND(C89&gt;=2,C89&lt;=4,D89&gt;=1),"OK",IF(AND(C89&gt;=2,C89&lt;=4),"FALTA ALTERNATIVA SEM EQUIPAMENTO","FORA DE 2 A 4 ALTERNATIVAS"))</f>
        <v>OK</v>
      </c>
    </row>
    <row r="90" customFormat="false" ht="15" hidden="false" customHeight="false" outlineLevel="0" collapsed="false">
      <c r="A90" s="6" t="n">
        <v>89</v>
      </c>
      <c r="B90" s="9" t="str">
        <f aca="false">IFERROR(INDEX(exercicio!$B$2:$B$190,MATCH(A90,exercicio!$A$2:$A$190,0)),"")</f>
        <v>Afundo Lateral</v>
      </c>
      <c r="C90" s="9" t="n">
        <f aca="false">COUNTIF(exercicio_alternativo!$A$2:$A$400,A90)</f>
        <v>4</v>
      </c>
      <c r="D90" s="9" t="n">
        <f aca="false">SUMPRODUCT((exercicio_alternativo!$A$2:$A$400=A90)*(exercicio_alternativo!$G$2:$G$400=TRUE()))</f>
        <v>3</v>
      </c>
      <c r="E90" s="11" t="str">
        <f aca="false">IF(AND(C90&gt;=2,C90&lt;=4,D90&gt;=1),"OK",IF(AND(C90&gt;=2,C90&lt;=4),"FALTA ALTERNATIVA SEM EQUIPAMENTO","FORA DE 2 A 4 ALTERNATIVAS"))</f>
        <v>OK</v>
      </c>
    </row>
  </sheetData>
  <autoFilter ref="A1:E90"/>
  <conditionalFormatting sqref="E2:E90">
    <cfRule type="expression" priority="2" aboveAverage="0" equalAverage="0" bottom="0" percent="0" rank="0" text="" dxfId="6">
      <formula>$E2&lt;&gt;"OK"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45"/>
    <col collapsed="false" customWidth="true" hidden="false" outlineLevel="0" max="4" min="4" style="0" width="70"/>
  </cols>
  <sheetData>
    <row r="1" customFormat="false" ht="31.5" hidden="false" customHeight="true" outlineLevel="0" collapsed="false">
      <c r="A1" s="4" t="s">
        <v>719</v>
      </c>
      <c r="B1" s="4" t="s">
        <v>941</v>
      </c>
      <c r="C1" s="4" t="s">
        <v>942</v>
      </c>
      <c r="D1" s="4" t="s">
        <v>943</v>
      </c>
    </row>
    <row r="2" customFormat="false" ht="23.85" hidden="false" customHeight="false" outlineLevel="0" collapsed="false">
      <c r="A2" s="6" t="s">
        <v>944</v>
      </c>
      <c r="B2" s="7" t="s">
        <v>945</v>
      </c>
      <c r="C2" s="7" t="s">
        <v>946</v>
      </c>
      <c r="D2" s="7" t="s">
        <v>947</v>
      </c>
    </row>
    <row r="3" customFormat="false" ht="23.85" hidden="false" customHeight="false" outlineLevel="0" collapsed="false">
      <c r="A3" s="6" t="s">
        <v>944</v>
      </c>
      <c r="B3" s="7" t="s">
        <v>948</v>
      </c>
      <c r="C3" s="7" t="s">
        <v>946</v>
      </c>
      <c r="D3" s="7" t="s">
        <v>949</v>
      </c>
    </row>
    <row r="4" customFormat="false" ht="15" hidden="false" customHeight="false" outlineLevel="0" collapsed="false">
      <c r="A4" s="6" t="s">
        <v>944</v>
      </c>
      <c r="B4" s="7" t="s">
        <v>950</v>
      </c>
      <c r="C4" s="7" t="s">
        <v>946</v>
      </c>
      <c r="D4" s="7" t="s">
        <v>949</v>
      </c>
    </row>
    <row r="5" customFormat="false" ht="23.85" hidden="false" customHeight="false" outlineLevel="0" collapsed="false">
      <c r="A5" s="6" t="s">
        <v>944</v>
      </c>
      <c r="B5" s="7" t="s">
        <v>951</v>
      </c>
      <c r="C5" s="7" t="s">
        <v>946</v>
      </c>
      <c r="D5" s="7" t="s">
        <v>949</v>
      </c>
    </row>
    <row r="6" customFormat="false" ht="23.85" hidden="false" customHeight="false" outlineLevel="0" collapsed="false">
      <c r="A6" s="6" t="s">
        <v>952</v>
      </c>
      <c r="B6" s="7" t="s">
        <v>953</v>
      </c>
      <c r="C6" s="7" t="s">
        <v>946</v>
      </c>
      <c r="D6" s="7" t="s">
        <v>954</v>
      </c>
    </row>
    <row r="7" customFormat="false" ht="15" hidden="false" customHeight="false" outlineLevel="0" collapsed="false">
      <c r="A7" s="6" t="s">
        <v>955</v>
      </c>
      <c r="B7" s="7" t="s">
        <v>956</v>
      </c>
      <c r="C7" s="7" t="s">
        <v>106</v>
      </c>
      <c r="D7" s="7" t="s">
        <v>957</v>
      </c>
    </row>
    <row r="8" customFormat="false" ht="15" hidden="false" customHeight="false" outlineLevel="0" collapsed="false">
      <c r="A8" s="6" t="s">
        <v>955</v>
      </c>
      <c r="B8" s="7" t="s">
        <v>958</v>
      </c>
      <c r="C8" s="7" t="s">
        <v>130</v>
      </c>
      <c r="D8" s="7" t="s">
        <v>949</v>
      </c>
    </row>
    <row r="9" customFormat="false" ht="15" hidden="false" customHeight="false" outlineLevel="0" collapsed="false">
      <c r="A9" s="6" t="s">
        <v>955</v>
      </c>
      <c r="B9" s="7" t="s">
        <v>959</v>
      </c>
      <c r="C9" s="7" t="s">
        <v>116</v>
      </c>
      <c r="D9" s="7" t="s">
        <v>949</v>
      </c>
    </row>
    <row r="10" customFormat="false" ht="15" hidden="false" customHeight="false" outlineLevel="0" collapsed="false">
      <c r="A10" s="6" t="s">
        <v>955</v>
      </c>
      <c r="B10" s="7" t="s">
        <v>472</v>
      </c>
      <c r="C10" s="7" t="s">
        <v>62</v>
      </c>
      <c r="D10" s="7" t="s">
        <v>949</v>
      </c>
    </row>
    <row r="11" customFormat="false" ht="15" hidden="false" customHeight="false" outlineLevel="0" collapsed="false">
      <c r="A11" s="6" t="s">
        <v>955</v>
      </c>
      <c r="B11" s="7" t="s">
        <v>960</v>
      </c>
      <c r="C11" s="7" t="s">
        <v>187</v>
      </c>
      <c r="D11" s="7" t="s">
        <v>961</v>
      </c>
    </row>
    <row r="12" customFormat="false" ht="23.85" hidden="false" customHeight="false" outlineLevel="0" collapsed="false">
      <c r="A12" s="6" t="s">
        <v>955</v>
      </c>
      <c r="B12" s="7" t="s">
        <v>962</v>
      </c>
      <c r="C12" s="7" t="s">
        <v>197</v>
      </c>
      <c r="D12" s="7" t="s">
        <v>949</v>
      </c>
    </row>
    <row r="13" customFormat="false" ht="15" hidden="false" customHeight="false" outlineLevel="0" collapsed="false">
      <c r="A13" s="6" t="s">
        <v>955</v>
      </c>
      <c r="B13" s="7" t="s">
        <v>963</v>
      </c>
      <c r="C13" s="7" t="s">
        <v>380</v>
      </c>
      <c r="D13" s="7" t="s">
        <v>949</v>
      </c>
    </row>
    <row r="14" customFormat="false" ht="15" hidden="false" customHeight="false" outlineLevel="0" collapsed="false">
      <c r="A14" s="6" t="s">
        <v>955</v>
      </c>
      <c r="B14" s="7" t="s">
        <v>964</v>
      </c>
      <c r="C14" s="7" t="s">
        <v>178</v>
      </c>
      <c r="D14" s="7" t="s">
        <v>949</v>
      </c>
    </row>
    <row r="15" customFormat="false" ht="15" hidden="false" customHeight="false" outlineLevel="0" collapsed="false">
      <c r="A15" s="6" t="s">
        <v>955</v>
      </c>
      <c r="B15" s="7" t="s">
        <v>965</v>
      </c>
      <c r="C15" s="7" t="s">
        <v>173</v>
      </c>
      <c r="D15" s="7" t="s">
        <v>949</v>
      </c>
    </row>
    <row r="16" customFormat="false" ht="15" hidden="false" customHeight="false" outlineLevel="0" collapsed="false">
      <c r="A16" s="6" t="s">
        <v>955</v>
      </c>
      <c r="B16" s="7" t="s">
        <v>966</v>
      </c>
      <c r="C16" s="7" t="s">
        <v>38</v>
      </c>
      <c r="D16" s="7" t="s">
        <v>949</v>
      </c>
    </row>
    <row r="17" customFormat="false" ht="15" hidden="false" customHeight="false" outlineLevel="0" collapsed="false">
      <c r="A17" s="6" t="s">
        <v>955</v>
      </c>
      <c r="B17" s="7" t="s">
        <v>967</v>
      </c>
      <c r="C17" s="7" t="s">
        <v>43</v>
      </c>
      <c r="D17" s="7" t="s">
        <v>949</v>
      </c>
    </row>
    <row r="18" customFormat="false" ht="15" hidden="false" customHeight="false" outlineLevel="0" collapsed="false">
      <c r="A18" s="6" t="s">
        <v>955</v>
      </c>
      <c r="B18" s="7" t="s">
        <v>968</v>
      </c>
      <c r="C18" s="7" t="s">
        <v>347</v>
      </c>
      <c r="D18" s="7" t="s">
        <v>969</v>
      </c>
    </row>
    <row r="19" customFormat="false" ht="15" hidden="false" customHeight="false" outlineLevel="0" collapsed="false">
      <c r="A19" s="6" t="s">
        <v>955</v>
      </c>
      <c r="B19" s="7" t="s">
        <v>970</v>
      </c>
      <c r="C19" s="7" t="s">
        <v>162</v>
      </c>
      <c r="D19" s="7" t="s">
        <v>971</v>
      </c>
    </row>
    <row r="20" customFormat="false" ht="15" hidden="false" customHeight="false" outlineLevel="0" collapsed="false">
      <c r="A20" s="6" t="s">
        <v>955</v>
      </c>
      <c r="B20" s="7" t="s">
        <v>972</v>
      </c>
      <c r="C20" s="7" t="s">
        <v>93</v>
      </c>
      <c r="D20" s="7" t="s">
        <v>949</v>
      </c>
    </row>
    <row r="21" customFormat="false" ht="15" hidden="false" customHeight="false" outlineLevel="0" collapsed="false">
      <c r="A21" s="6" t="s">
        <v>955</v>
      </c>
      <c r="B21" s="7" t="s">
        <v>973</v>
      </c>
      <c r="C21" s="7" t="s">
        <v>78</v>
      </c>
      <c r="D21" s="7" t="s">
        <v>949</v>
      </c>
    </row>
    <row r="22" customFormat="false" ht="15" hidden="false" customHeight="false" outlineLevel="0" collapsed="false">
      <c r="A22" s="6" t="s">
        <v>955</v>
      </c>
      <c r="B22" s="7" t="s">
        <v>974</v>
      </c>
      <c r="C22" s="7" t="s">
        <v>975</v>
      </c>
      <c r="D22" s="7" t="s">
        <v>976</v>
      </c>
    </row>
    <row r="23" customFormat="false" ht="23.85" hidden="false" customHeight="false" outlineLevel="0" collapsed="false">
      <c r="A23" s="6" t="s">
        <v>977</v>
      </c>
      <c r="B23" s="7" t="s">
        <v>978</v>
      </c>
      <c r="C23" s="7" t="s">
        <v>946</v>
      </c>
      <c r="D23" s="7" t="s">
        <v>979</v>
      </c>
    </row>
    <row r="24" customFormat="false" ht="23.85" hidden="false" customHeight="false" outlineLevel="0" collapsed="false">
      <c r="A24" s="6" t="s">
        <v>977</v>
      </c>
      <c r="B24" s="7" t="s">
        <v>980</v>
      </c>
      <c r="C24" s="7" t="s">
        <v>946</v>
      </c>
      <c r="D24" s="7" t="s">
        <v>981</v>
      </c>
    </row>
    <row r="25" customFormat="false" ht="15" hidden="false" customHeight="false" outlineLevel="0" collapsed="false">
      <c r="A25" s="6" t="s">
        <v>982</v>
      </c>
      <c r="B25" s="7" t="s">
        <v>983</v>
      </c>
      <c r="C25" s="7" t="s">
        <v>984</v>
      </c>
      <c r="D25" s="7" t="s">
        <v>985</v>
      </c>
    </row>
    <row r="26" customFormat="false" ht="15" hidden="false" customHeight="false" outlineLevel="0" collapsed="false">
      <c r="A26" s="6" t="s">
        <v>982</v>
      </c>
      <c r="B26" s="7" t="s">
        <v>986</v>
      </c>
      <c r="C26" s="7" t="s">
        <v>987</v>
      </c>
      <c r="D26" s="7" t="s">
        <v>988</v>
      </c>
    </row>
    <row r="27" customFormat="false" ht="15" hidden="false" customHeight="false" outlineLevel="0" collapsed="false">
      <c r="A27" s="6" t="s">
        <v>982</v>
      </c>
      <c r="B27" s="7" t="s">
        <v>989</v>
      </c>
      <c r="C27" s="7" t="s">
        <v>285</v>
      </c>
      <c r="D27" s="7" t="s">
        <v>990</v>
      </c>
    </row>
    <row r="28" customFormat="false" ht="15" hidden="false" customHeight="false" outlineLevel="0" collapsed="false">
      <c r="A28" s="6" t="s">
        <v>982</v>
      </c>
      <c r="B28" s="7" t="s">
        <v>991</v>
      </c>
      <c r="C28" s="7" t="s">
        <v>992</v>
      </c>
      <c r="D28" s="7" t="s">
        <v>993</v>
      </c>
    </row>
    <row r="29" customFormat="false" ht="15" hidden="false" customHeight="false" outlineLevel="0" collapsed="false">
      <c r="A29" s="6" t="s">
        <v>982</v>
      </c>
      <c r="B29" s="7" t="s">
        <v>994</v>
      </c>
      <c r="C29" s="7" t="s">
        <v>995</v>
      </c>
      <c r="D29" s="7" t="s">
        <v>996</v>
      </c>
    </row>
    <row r="30" customFormat="false" ht="15" hidden="false" customHeight="false" outlineLevel="0" collapsed="false">
      <c r="A30" s="6" t="s">
        <v>982</v>
      </c>
      <c r="B30" s="7" t="s">
        <v>997</v>
      </c>
      <c r="C30" s="7" t="s">
        <v>998</v>
      </c>
      <c r="D30" s="7" t="s">
        <v>999</v>
      </c>
    </row>
    <row r="31" customFormat="false" ht="15" hidden="false" customHeight="false" outlineLevel="0" collapsed="false">
      <c r="A31" s="6" t="s">
        <v>1000</v>
      </c>
      <c r="B31" s="7" t="s">
        <v>1001</v>
      </c>
      <c r="C31" s="7" t="s">
        <v>1002</v>
      </c>
      <c r="D31" s="7" t="s">
        <v>1003</v>
      </c>
    </row>
    <row r="32" customFormat="false" ht="15" hidden="false" customHeight="false" outlineLevel="0" collapsed="false">
      <c r="A32" s="6" t="s">
        <v>1000</v>
      </c>
      <c r="B32" s="7" t="s">
        <v>1004</v>
      </c>
      <c r="C32" s="7" t="s">
        <v>1005</v>
      </c>
      <c r="D32" s="7" t="s">
        <v>1006</v>
      </c>
    </row>
    <row r="33" customFormat="false" ht="23.85" hidden="false" customHeight="false" outlineLevel="0" collapsed="false">
      <c r="A33" s="6" t="s">
        <v>1007</v>
      </c>
      <c r="B33" s="7" t="s">
        <v>1008</v>
      </c>
      <c r="C33" s="7" t="s">
        <v>37</v>
      </c>
      <c r="D33" s="7" t="s">
        <v>1009</v>
      </c>
    </row>
    <row r="34" customFormat="false" ht="15" hidden="false" customHeight="false" outlineLevel="0" collapsed="false">
      <c r="A34" s="6" t="s">
        <v>1010</v>
      </c>
      <c r="B34" s="7" t="s">
        <v>946</v>
      </c>
      <c r="C34" s="7" t="s">
        <v>615</v>
      </c>
      <c r="D34" s="7" t="s">
        <v>1011</v>
      </c>
    </row>
    <row r="35" customFormat="false" ht="15" hidden="false" customHeight="false" outlineLevel="0" collapsed="false">
      <c r="A35" s="6" t="s">
        <v>1012</v>
      </c>
      <c r="B35" s="7" t="s">
        <v>1013</v>
      </c>
      <c r="C35" s="7" t="s">
        <v>589</v>
      </c>
      <c r="D35" s="7" t="s">
        <v>1014</v>
      </c>
    </row>
    <row r="36" customFormat="false" ht="15" hidden="false" customHeight="false" outlineLevel="0" collapsed="false">
      <c r="A36" s="6" t="s">
        <v>1012</v>
      </c>
      <c r="B36" s="7" t="s">
        <v>1015</v>
      </c>
      <c r="C36" s="7" t="s">
        <v>1016</v>
      </c>
      <c r="D36" s="7" t="s">
        <v>1017</v>
      </c>
    </row>
    <row r="37" customFormat="false" ht="15" hidden="false" customHeight="false" outlineLevel="0" collapsed="false">
      <c r="A37" s="6" t="s">
        <v>1012</v>
      </c>
      <c r="B37" s="7" t="s">
        <v>1018</v>
      </c>
      <c r="C37" s="7" t="s">
        <v>1019</v>
      </c>
      <c r="D37" s="7" t="s">
        <v>1020</v>
      </c>
    </row>
    <row r="38" customFormat="false" ht="15" hidden="false" customHeight="false" outlineLevel="0" collapsed="false">
      <c r="A38" s="6" t="s">
        <v>1021</v>
      </c>
      <c r="B38" s="7" t="s">
        <v>1022</v>
      </c>
      <c r="C38" s="7" t="s">
        <v>1023</v>
      </c>
      <c r="D38" s="7" t="s">
        <v>1024</v>
      </c>
    </row>
    <row r="39" customFormat="false" ht="15" hidden="false" customHeight="false" outlineLevel="0" collapsed="false">
      <c r="A39" s="6" t="s">
        <v>1025</v>
      </c>
      <c r="B39" s="7" t="s">
        <v>1026</v>
      </c>
      <c r="C39" s="7" t="s">
        <v>946</v>
      </c>
      <c r="D39" s="7" t="s">
        <v>1027</v>
      </c>
    </row>
    <row r="40" customFormat="false" ht="15" hidden="false" customHeight="false" outlineLevel="0" collapsed="false">
      <c r="A40" s="6" t="s">
        <v>1025</v>
      </c>
      <c r="B40" s="7" t="s">
        <v>1028</v>
      </c>
      <c r="C40" s="7" t="s">
        <v>946</v>
      </c>
      <c r="D40" s="7" t="s">
        <v>1029</v>
      </c>
    </row>
    <row r="41" customFormat="false" ht="35.05" hidden="false" customHeight="false" outlineLevel="0" collapsed="false">
      <c r="A41" s="6" t="s">
        <v>1030</v>
      </c>
      <c r="B41" s="7" t="s">
        <v>1031</v>
      </c>
      <c r="C41" s="7" t="s">
        <v>946</v>
      </c>
      <c r="D41" s="7" t="s">
        <v>1032</v>
      </c>
    </row>
    <row r="42" customFormat="false" ht="23.85" hidden="false" customHeight="false" outlineLevel="0" collapsed="false">
      <c r="A42" s="6" t="s">
        <v>1030</v>
      </c>
      <c r="B42" s="7" t="s">
        <v>1033</v>
      </c>
      <c r="C42" s="7" t="s">
        <v>946</v>
      </c>
      <c r="D42" s="7" t="s">
        <v>949</v>
      </c>
    </row>
    <row r="43" customFormat="false" ht="15" hidden="false" customHeight="false" outlineLevel="0" collapsed="false">
      <c r="A43" s="6" t="s">
        <v>1034</v>
      </c>
      <c r="B43" s="7" t="s">
        <v>182</v>
      </c>
      <c r="C43" s="7" t="s">
        <v>1035</v>
      </c>
      <c r="D43" s="7" t="s">
        <v>1036</v>
      </c>
    </row>
    <row r="44" customFormat="false" ht="15" hidden="false" customHeight="false" outlineLevel="0" collapsed="false">
      <c r="A44" s="6" t="s">
        <v>1037</v>
      </c>
      <c r="B44" s="7" t="s">
        <v>1038</v>
      </c>
      <c r="C44" s="7" t="s">
        <v>946</v>
      </c>
      <c r="D44" s="7" t="s">
        <v>1039</v>
      </c>
    </row>
  </sheetData>
  <autoFilter ref="A1:D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2026-10-09T00:24:08Z</dcterms:created>
  <dc:creator>openpyxl</dc:creator>
  <dc:description/>
  <dc:language>en-US</dc:language>
  <cp:lastModifiedBy/>
  <dcterms:modified xsi:type="dcterms:W3CDTF">2026-10-09T00:24:08Z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