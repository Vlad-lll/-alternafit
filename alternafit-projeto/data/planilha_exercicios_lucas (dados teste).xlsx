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C:\Users\Sasaki\Downloads\"/>
    </mc:Choice>
  </mc:AlternateContent>
  <xr:revisionPtr revIDLastSave="0" documentId="8_{65856344-60D1-4F77-8A3C-EC7AE50F86D7}" xr6:coauthVersionLast="47" xr6:coauthVersionMax="47" xr10:uidLastSave="{00000000-0000-0000-0000-000000000000}"/>
  <bookViews>
    <workbookView xWindow="-120" yWindow="-120" windowWidth="29040" windowHeight="16440" tabRatio="500" firstSheet="4" activeTab="4" xr2:uid="{00000000-000D-0000-FFFF-FFFF00000000}"/>
  </bookViews>
  <sheets>
    <sheet name="Instruções" sheetId="1" r:id="rId1"/>
    <sheet name="Dificuldades" sheetId="2" r:id="rId2"/>
    <sheet name="Grupos Musculares" sheetId="3" r:id="rId3"/>
    <sheet name="Equipamentos" sheetId="4" r:id="rId4"/>
    <sheet name="Exercícios" sheetId="5" r:id="rId5"/>
    <sheet name="Alternativas" sheetId="6" r:id="rId6"/>
    <sheet name="Passos de Execução" sheetId="7" r:id="rId7"/>
  </sheets>
  <definedNames>
    <definedName name="_xlnm._FilterDatabase" localSheetId="6" hidden="1">'Passos de Execução'!$A$1:$E$32</definedName>
    <definedName name="ListaExercicios">Exercícios!$B$2:$B$42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7" l="1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D42" i="6"/>
  <c r="B42" i="6"/>
  <c r="D41" i="6"/>
  <c r="B41" i="6"/>
  <c r="D40" i="6"/>
  <c r="B40" i="6"/>
  <c r="D39" i="6"/>
  <c r="B39" i="6"/>
  <c r="D38" i="6"/>
  <c r="B38" i="6"/>
  <c r="D37" i="6"/>
  <c r="B37" i="6"/>
  <c r="D36" i="6"/>
  <c r="B36" i="6"/>
  <c r="D35" i="6"/>
  <c r="B35" i="6"/>
  <c r="D34" i="6"/>
  <c r="B34" i="6"/>
  <c r="D33" i="6"/>
  <c r="B33" i="6"/>
  <c r="D32" i="6"/>
  <c r="B32" i="6"/>
  <c r="D31" i="6"/>
  <c r="B31" i="6"/>
  <c r="D30" i="6"/>
  <c r="B30" i="6"/>
  <c r="D29" i="6"/>
  <c r="B29" i="6"/>
  <c r="D28" i="6"/>
  <c r="B28" i="6"/>
  <c r="D27" i="6"/>
  <c r="B27" i="6"/>
  <c r="D26" i="6"/>
  <c r="B26" i="6"/>
  <c r="D25" i="6"/>
  <c r="B25" i="6"/>
  <c r="D24" i="6"/>
  <c r="B24" i="6"/>
  <c r="D23" i="6"/>
  <c r="B23" i="6"/>
  <c r="D22" i="6"/>
  <c r="B22" i="6"/>
  <c r="D21" i="6"/>
  <c r="B21" i="6"/>
  <c r="D20" i="6"/>
  <c r="B20" i="6"/>
  <c r="D19" i="6"/>
  <c r="B19" i="6"/>
  <c r="D18" i="6"/>
  <c r="B18" i="6"/>
  <c r="D17" i="6"/>
  <c r="B17" i="6"/>
  <c r="D16" i="6"/>
  <c r="B16" i="6"/>
  <c r="D15" i="6"/>
  <c r="B15" i="6"/>
  <c r="D14" i="6"/>
  <c r="B14" i="6"/>
  <c r="D13" i="6"/>
  <c r="B13" i="6"/>
  <c r="D12" i="6"/>
  <c r="B12" i="6"/>
  <c r="D11" i="6"/>
  <c r="B11" i="6"/>
  <c r="D10" i="6"/>
  <c r="B10" i="6"/>
  <c r="D9" i="6"/>
  <c r="B9" i="6"/>
  <c r="D8" i="6"/>
  <c r="B8" i="6"/>
  <c r="D7" i="6"/>
  <c r="B7" i="6"/>
  <c r="D6" i="6"/>
  <c r="B6" i="6"/>
  <c r="D5" i="6"/>
  <c r="B5" i="6"/>
  <c r="D4" i="6"/>
  <c r="B4" i="6"/>
  <c r="D3" i="6"/>
  <c r="D2" i="6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" i="6" s="1"/>
  <c r="B7" i="7" l="1"/>
  <c r="B6" i="7"/>
  <c r="B5" i="7"/>
  <c r="B4" i="7"/>
  <c r="B3" i="7"/>
  <c r="B3" i="6"/>
  <c r="B2" i="7"/>
</calcChain>
</file>

<file path=xl/sharedStrings.xml><?xml version="1.0" encoding="utf-8"?>
<sst xmlns="http://schemas.openxmlformats.org/spreadsheetml/2006/main" count="172" uniqueCount="145">
  <si>
    <t>Planilha de Exercícios — Preenchimento (Lucas)</t>
  </si>
  <si>
    <t>Oi Lucas! Essa planilha vai virar o banco de dados de exercícios do nosso app.</t>
  </si>
  <si>
    <t>Cada aba abaixo representa uma parte diferente da informação. Preencha só as linhas</t>
  </si>
  <si>
    <t>com fundo AMARELO — a primeira linha de cada aba (fundo VERDE, em itálico) é um</t>
  </si>
  <si>
    <t>EXEMPLO já preenchido, só pra você ver o formato esperado. Não apague os exemplos.</t>
  </si>
  <si>
    <t>Pode adicionar quantas linhas precisar (copie o formato da última linha amarela).</t>
  </si>
  <si>
    <t>Se não souber uma informação ainda, deixe em branco — não precisa ser tudo de uma vez.</t>
  </si>
  <si>
    <t>Ordem sugerida para preencher as abas:</t>
  </si>
  <si>
    <t xml:space="preserve">  1. Dificuldades (já vem pronta, só revise)</t>
  </si>
  <si>
    <t xml:space="preserve">  2. Grupos Musculares (já vem pronta, só revise)</t>
  </si>
  <si>
    <t xml:space="preserve">  3. Equipamentos (adicione os que faltarem)</t>
  </si>
  <si>
    <t xml:space="preserve">  4. Exercícios (a aba principal)</t>
  </si>
  <si>
    <t xml:space="preserve">  5. Alternativas (quais exercícios substituem quais)</t>
  </si>
  <si>
    <t xml:space="preserve">  6. Passos de Execução (opcional, para exercícios mais complexos)</t>
  </si>
  <si>
    <t>IMPORTANTE sobre a coluna 'Código' (cinza, na aba Exercícios):</t>
  </si>
  <si>
    <t xml:space="preserve">  Não precisa preencher! Ela se gera sozinha (EX-001, EX-002...) assim que</t>
  </si>
  <si>
    <t xml:space="preserve">  você escreve o nome do exercício na linha. É só pra identificação interna</t>
  </si>
  <si>
    <t xml:space="preserve">  do sistema, não precisa se preocupar com ela.</t>
  </si>
  <si>
    <t>IMPORTANTE sobre as abas Alternativas e Passos de Execução:</t>
  </si>
  <si>
    <t xml:space="preserve">  Ao clicar numa célula da coluna 'Exercício', vai aparecer uma setinha —</t>
  </si>
  <si>
    <t xml:space="preserve">  clique nela e escolha o exercício na lista (em vez de digitar o nome).</t>
  </si>
  <si>
    <t xml:space="preserve">  Isso evita erro de digitação. O código correspondente aparece sozinho</t>
  </si>
  <si>
    <t xml:space="preserve">  na coluna cinza ao lado.</t>
  </si>
  <si>
    <t>Qualquer dúvida, chama a gente no grupo antes de preencher errado — combinado?</t>
  </si>
  <si>
    <t>Legenda de cores</t>
  </si>
  <si>
    <t xml:space="preserve">  Cabeçalho azul</t>
  </si>
  <si>
    <t xml:space="preserve">     -&gt; nome da coluna — não mexer</t>
  </si>
  <si>
    <t xml:space="preserve">  Linha verde (itálico)</t>
  </si>
  <si>
    <t xml:space="preserve">     -&gt; exemplo preenchido — não apague, é só referência</t>
  </si>
  <si>
    <t xml:space="preserve">  Linha amarela</t>
  </si>
  <si>
    <t xml:space="preserve">     -&gt; aqui é onde você preenche os dados reais</t>
  </si>
  <si>
    <t>Nível (1 a 3)</t>
  </si>
  <si>
    <t>Nome</t>
  </si>
  <si>
    <t>Descrição</t>
  </si>
  <si>
    <t>Iniciante</t>
  </si>
  <si>
    <t>Movimento simples, baixo risco de lesão, ideal para quem nunca treinou</t>
  </si>
  <si>
    <t>Intermediário</t>
  </si>
  <si>
    <t>Exige coordenação, controle de peso corporal ou técnica moderada</t>
  </si>
  <si>
    <t>Avançado</t>
  </si>
  <si>
    <t>Exige força, equilíbrio ou mobilidade significativos, maior risco se mal executado</t>
  </si>
  <si>
    <t>Nome do grupo muscular</t>
  </si>
  <si>
    <t>Descrição (opcional)</t>
  </si>
  <si>
    <t>Peitoral</t>
  </si>
  <si>
    <t>Músculos do peito</t>
  </si>
  <si>
    <t>Deltoides</t>
  </si>
  <si>
    <t>Ombros</t>
  </si>
  <si>
    <t>Tríceps</t>
  </si>
  <si>
    <t>Bíceps</t>
  </si>
  <si>
    <t>Dorsal (Latíssimo)</t>
  </si>
  <si>
    <t>Costas, região lateral</t>
  </si>
  <si>
    <t>Trapézio</t>
  </si>
  <si>
    <t>Costas, região superior</t>
  </si>
  <si>
    <t>Lombar</t>
  </si>
  <si>
    <t>Região inferior das costas</t>
  </si>
  <si>
    <t>Quadríceps</t>
  </si>
  <si>
    <t>Frente da coxa</t>
  </si>
  <si>
    <t>Posterior de coxa</t>
  </si>
  <si>
    <t>Isquiotibiais</t>
  </si>
  <si>
    <t>Glúteos</t>
  </si>
  <si>
    <t>Panturrilha</t>
  </si>
  <si>
    <t>Abdômen</t>
  </si>
  <si>
    <t>Core</t>
  </si>
  <si>
    <t>Antebraço</t>
  </si>
  <si>
    <t>Adicione outros grupos que faltarem aqui embaixo</t>
  </si>
  <si>
    <t>Nome do equipamento</t>
  </si>
  <si>
    <t>Barra reta</t>
  </si>
  <si>
    <t>Barra olímpica ou barra W, usada em supino, agachamento, remada etc.</t>
  </si>
  <si>
    <t>Halteres</t>
  </si>
  <si>
    <t>Banco reto</t>
  </si>
  <si>
    <t>Banco inclinado</t>
  </si>
  <si>
    <t>Máquina Smith</t>
  </si>
  <si>
    <t>Polia (cabo)</t>
  </si>
  <si>
    <t>Cross-over, puxador, tríceps na polia etc.</t>
  </si>
  <si>
    <t>Barra fixa</t>
  </si>
  <si>
    <t>Para pull-up / barra</t>
  </si>
  <si>
    <t>Kettlebell</t>
  </si>
  <si>
    <t>Elástico de resistência</t>
  </si>
  <si>
    <t>Nenhum (peso do corpo)</t>
  </si>
  <si>
    <t>Marque isso quando o exercício for calistenia pura</t>
  </si>
  <si>
    <t>Adicione outros equipamentos que faltarem aqui embaixo</t>
  </si>
  <si>
    <t>Código (gerado sozinho, não preencher)</t>
  </si>
  <si>
    <t>Nome do exercício</t>
  </si>
  <si>
    <t>Descrição breve</t>
  </si>
  <si>
    <t>Nível de dificuldade (1-3, ver aba Dificuldades)</t>
  </si>
  <si>
    <t>Grupo(s) muscular(es) (separe por vírgula, ver aba Grupos Musculares)</t>
  </si>
  <si>
    <t>Precisa de equipamento? (Sim/Não)</t>
  </si>
  <si>
    <t>Equipamento(s) necessário(s) (separe por vírgula, ver aba Equipamentos)</t>
  </si>
  <si>
    <t>Dica de execução</t>
  </si>
  <si>
    <t>Link do vídeo (se tiver)</t>
  </si>
  <si>
    <t>Supino reto com barra</t>
  </si>
  <si>
    <t>Exercício de empurro para o peitoral, feito deitado em banco reto</t>
  </si>
  <si>
    <t>Peitoral, Tríceps, Deltoides</t>
  </si>
  <si>
    <t>Sim</t>
  </si>
  <si>
    <t>Barra reta, Banco reto</t>
  </si>
  <si>
    <t>Mantenha os cotovelos levemente para dentro (não a 90°), não trave o cotovelo no topo do movimento</t>
  </si>
  <si>
    <t>https://exemplo.com/video-supino</t>
  </si>
  <si>
    <t>Supino Inclinado com Halteres</t>
  </si>
  <si>
    <t>Exercício multiarticular focado no fortalecimento da parte superior do peitoral</t>
  </si>
  <si>
    <t>Banco ajustável (30°)</t>
  </si>
  <si>
    <r>
      <rPr>
        <sz val="11"/>
        <color rgb="FF000000"/>
        <rFont val="Calibri"/>
      </rPr>
      <t xml:space="preserve">Antes de começar a empurrar o peso, imagine que você tem que </t>
    </r>
    <r>
      <rPr>
        <b/>
        <sz val="12"/>
        <color rgb="FF000000"/>
        <rFont val="Google Sans"/>
      </rPr>
      <t>prender uma caneta no meio das suas costas</t>
    </r>
  </si>
  <si>
    <t>https://www.youtube.com/watch?v=F4Q1g2z8MWM</t>
  </si>
  <si>
    <t>Voador Peitoral</t>
  </si>
  <si>
    <t>O voador (ou peck deck) é um exercício isolador para o peitoral realizado em máquina</t>
  </si>
  <si>
    <t>Peitoral, Deltoíde anterior</t>
  </si>
  <si>
    <t>Peck Deck</t>
  </si>
  <si>
    <t>https://www.youtube.com/watch?v=QRehkbV0R48</t>
  </si>
  <si>
    <t>Puxada Alta</t>
  </si>
  <si>
    <t>A puxada alta é um exercício fundamental de musculação focado no fortalecimento dos músculos das costas</t>
  </si>
  <si>
    <t>Latíssimo do dorso, Bíceps, Deltoide posterior</t>
  </si>
  <si>
    <t>Pulley</t>
  </si>
  <si>
    <t>Puxe com os cotovelos, não com as mãos</t>
  </si>
  <si>
    <t>https://www.youtube.com/watch?v=mPmfwbc_svw</t>
  </si>
  <si>
    <t>Remada Baixa</t>
  </si>
  <si>
    <t>Exercício original (selecione da lista)</t>
  </si>
  <si>
    <t>Código (automático)</t>
  </si>
  <si>
    <t>Exercício alternativo (selecione da lista)</t>
  </si>
  <si>
    <t>Ordem de prioridade (1 = mais recomendada)</t>
  </si>
  <si>
    <t>Essa alternativa é sem equipamento? (Sim/Não)</t>
  </si>
  <si>
    <t>Flexão de braço</t>
  </si>
  <si>
    <t>Flexão Inclinada (Pés no Banco)</t>
  </si>
  <si>
    <t>Crucifixo no cabo</t>
  </si>
  <si>
    <t xml:space="preserve">Não </t>
  </si>
  <si>
    <t>Barra Fixa</t>
  </si>
  <si>
    <t>Lembrete: cada exercício original precisa ter PELO MENOS UMA linha com 'Sem equipamento' = Sim entre suas alternativas.</t>
  </si>
  <si>
    <t>Clique na célula das colunas 'Exercício original' / 'Exercício alternativo' e escolha o nome na lista — o código preenche sozinho ao lado.</t>
  </si>
  <si>
    <t>Exercício (selecione da lista)</t>
  </si>
  <si>
    <t>Ordem do passo (1, 2, 3...)</t>
  </si>
  <si>
    <t>Descrição do passo</t>
  </si>
  <si>
    <t>Dica extra do passo (opcional)</t>
  </si>
  <si>
    <t>Deite no banco com os pés apoiados no chão e retire a barra do suporte</t>
  </si>
  <si>
    <t>Mantenha as escápulas retraídas contra o banco</t>
  </si>
  <si>
    <t>ajuste o banco para uma inclinação de 30° , Sente-se no banco e apoie cada haltere em cima dos seus joelhos</t>
  </si>
  <si>
    <t>Para deitar com segurança, use as coxas para impulsionar, os halteres para cima, um de cada vez, enquanto deita as costas no banco</t>
  </si>
  <si>
    <t>Mantenha os pés firmes no chão para dar estabilidade, e feche as escápulas</t>
  </si>
  <si>
    <t>Desça os halteres de forma controlada até o lado do seu peitoral superior</t>
  </si>
  <si>
    <t>Empurre os halteres para cima com força, concentrando o esforço no peitoral.</t>
  </si>
  <si>
    <t>Evite esticar o cotovelo completamente no topo para não tirar o estímulo do peito</t>
  </si>
  <si>
    <t>Regule a altura do assento para que as manoplas fiquem exatamente na linha do meio do seu peitoral</t>
  </si>
  <si>
    <t>Posicione os braços da máquina em uma abertura que permita alongar o peitoral</t>
  </si>
  <si>
    <t>Pressione as manoplas para a frente até que se aproximem na frente do peito</t>
  </si>
  <si>
    <t>Retorne os braços de forma lenta e controlada até sentir o peitoral alongar bem</t>
  </si>
  <si>
    <t>Puxe a barra em direção à parte superior do peito</t>
  </si>
  <si>
    <t>faça uma breve pausa de 1 segundo mantendo a musculatura das costas contraída</t>
  </si>
  <si>
    <t>Suba a barra de forma controlada</t>
  </si>
  <si>
    <t>Essa aba é opcional — use só para exercícios em que vale a pena detalhar passo a passo (ex: agachamento, levantamento terra).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</si>
</sst>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sz val="11"/>
      <color rgb="FF000000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i/>
      <sz val="10"/>
      <color rgb="FF375623"/>
      <name val="Arial"/>
      <charset val="1"/>
    </font>
    <font>
      <sz val="10"/>
      <name val="Arial"/>
      <charset val="1"/>
    </font>
    <font>
      <i/>
      <sz val="10"/>
      <color rgb="FF595959"/>
      <name val="Arial"/>
      <charset val="1"/>
    </font>
    <font>
      <b/>
      <i/>
      <sz val="10"/>
      <color rgb="FFC00000"/>
      <name val="Arial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  <font>
      <sz val="11"/>
      <color rgb="FF000000"/>
      <name val="Calibri"/>
    </font>
    <font>
      <b/>
      <sz val="12"/>
      <color rgb="FF000000"/>
      <name val="Google Sans"/>
    </font>
    <font>
      <sz val="11"/>
      <color rgb="FF000000"/>
      <name val="Calibri"/>
      <family val="2"/>
      <charset val="1"/>
    </font>
    <font>
      <sz val="11"/>
      <color rgb="FFFFF2CC"/>
      <name val="Calibri"/>
      <family val="2"/>
      <charset val="1"/>
    </font>
    <font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D9D9D9"/>
        <bgColor rgb="FFE2EFDA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4" fillId="3" borderId="0" xfId="0" applyFont="1" applyFill="1"/>
    <xf numFmtId="0" fontId="4" fillId="4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10" fillId="0" borderId="0" xfId="0" applyFont="1"/>
    <xf numFmtId="0" fontId="9" fillId="0" borderId="0" xfId="0" applyFont="1"/>
    <xf numFmtId="0" fontId="0" fillId="6" borderId="0" xfId="0" applyFill="1"/>
    <xf numFmtId="0" fontId="11" fillId="4" borderId="1" xfId="1" applyFill="1" applyBorder="1" applyAlignment="1">
      <alignment vertical="center" wrapText="1"/>
    </xf>
    <xf numFmtId="0" fontId="8" fillId="4" borderId="1" xfId="0" applyFont="1" applyFill="1" applyBorder="1" applyAlignment="1">
      <alignment vertical="center"/>
    </xf>
    <xf numFmtId="0" fontId="0" fillId="6" borderId="0" xfId="0" applyFill="1" applyAlignment="1">
      <alignment wrapText="1"/>
    </xf>
    <xf numFmtId="0" fontId="0" fillId="6" borderId="0" xfId="0" applyFont="1" applyFill="1" applyAlignment="1">
      <alignment wrapText="1"/>
    </xf>
    <xf numFmtId="0" fontId="12" fillId="6" borderId="0" xfId="0" applyFont="1" applyFill="1" applyAlignment="1">
      <alignment wrapText="1"/>
    </xf>
    <xf numFmtId="0" fontId="11" fillId="6" borderId="0" xfId="1" applyFill="1"/>
    <xf numFmtId="0" fontId="15" fillId="6" borderId="0" xfId="0" applyFont="1" applyFill="1" applyAlignment="1">
      <alignment wrapText="1"/>
    </xf>
    <xf numFmtId="0" fontId="16" fillId="6" borderId="0" xfId="0" applyFont="1" applyFill="1"/>
    <xf numFmtId="0" fontId="17" fillId="4" borderId="1" xfId="0" applyFont="1" applyFill="1" applyBorder="1" applyAlignment="1">
      <alignment vertical="center" wrapText="1"/>
    </xf>
    <xf numFmtId="0" fontId="0" fillId="6" borderId="0" xfId="0" applyFont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mPmfwbc_svw" TargetMode="External"/><Relationship Id="rId2" Type="http://schemas.openxmlformats.org/officeDocument/2006/relationships/hyperlink" Target="https://www.youtube.com/watch?v=QRehkbV0R48" TargetMode="External"/><Relationship Id="rId1" Type="http://schemas.openxmlformats.org/officeDocument/2006/relationships/hyperlink" Target="https://www.youtube.com/watch?v=F4Q1g2z8MW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showGridLines="0" topLeftCell="A10" zoomScaleNormal="100" workbookViewId="0"/>
  </sheetViews>
  <sheetFormatPr defaultColWidth="8.7109375" defaultRowHeight="15"/>
  <cols>
    <col min="1" max="1" width="100" customWidth="1"/>
  </cols>
  <sheetData>
    <row r="1" spans="1:1" ht="18">
      <c r="A1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/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2" t="s">
        <v>11</v>
      </c>
    </row>
    <row r="16" spans="1:1">
      <c r="A16" s="2" t="s">
        <v>12</v>
      </c>
    </row>
    <row r="17" spans="1:1">
      <c r="A17" s="2" t="s">
        <v>13</v>
      </c>
    </row>
    <row r="18" spans="1:1">
      <c r="A18" s="2"/>
    </row>
    <row r="19" spans="1:1">
      <c r="A19" s="2" t="s">
        <v>14</v>
      </c>
    </row>
    <row r="20" spans="1:1">
      <c r="A20" s="2" t="s">
        <v>15</v>
      </c>
    </row>
    <row r="21" spans="1:1">
      <c r="A21" s="2" t="s">
        <v>16</v>
      </c>
    </row>
    <row r="22" spans="1:1">
      <c r="A22" s="2" t="s">
        <v>17</v>
      </c>
    </row>
    <row r="23" spans="1:1">
      <c r="A23" s="2"/>
    </row>
    <row r="24" spans="1:1">
      <c r="A24" s="2" t="s">
        <v>18</v>
      </c>
    </row>
    <row r="25" spans="1:1">
      <c r="A25" s="2" t="s">
        <v>19</v>
      </c>
    </row>
    <row r="26" spans="1:1">
      <c r="A26" s="2" t="s">
        <v>20</v>
      </c>
    </row>
    <row r="27" spans="1:1">
      <c r="A27" s="2" t="s">
        <v>21</v>
      </c>
    </row>
    <row r="28" spans="1:1">
      <c r="A28" s="2" t="s">
        <v>22</v>
      </c>
    </row>
    <row r="29" spans="1:1">
      <c r="A29" s="2"/>
    </row>
    <row r="30" spans="1:1">
      <c r="A30" s="2" t="s">
        <v>23</v>
      </c>
    </row>
    <row r="32" spans="1:1" ht="15.75">
      <c r="A32" s="3" t="s">
        <v>24</v>
      </c>
    </row>
    <row r="33" spans="1:1">
      <c r="A33" s="4" t="s">
        <v>25</v>
      </c>
    </row>
    <row r="34" spans="1:1">
      <c r="A34" s="5" t="s">
        <v>26</v>
      </c>
    </row>
    <row r="35" spans="1:1">
      <c r="A35" s="6" t="s">
        <v>27</v>
      </c>
    </row>
    <row r="36" spans="1:1">
      <c r="A36" s="5" t="s">
        <v>28</v>
      </c>
    </row>
    <row r="37" spans="1:1">
      <c r="A37" s="7" t="s">
        <v>29</v>
      </c>
    </row>
    <row r="38" spans="1:1">
      <c r="A38" s="5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4" customWidth="1"/>
    <col min="2" max="2" width="20" customWidth="1"/>
    <col min="3" max="3" width="60" customWidth="1"/>
  </cols>
  <sheetData>
    <row r="1" spans="1:3" ht="31.5" customHeight="1">
      <c r="A1" s="8" t="s">
        <v>31</v>
      </c>
      <c r="B1" s="8" t="s">
        <v>32</v>
      </c>
      <c r="C1" s="8" t="s">
        <v>33</v>
      </c>
    </row>
    <row r="2" spans="1:3" ht="25.5">
      <c r="A2" s="9">
        <v>1</v>
      </c>
      <c r="B2" s="10" t="s">
        <v>34</v>
      </c>
      <c r="C2" s="10" t="s">
        <v>35</v>
      </c>
    </row>
    <row r="3" spans="1:3">
      <c r="A3" s="11">
        <v>2</v>
      </c>
      <c r="B3" s="11" t="s">
        <v>36</v>
      </c>
      <c r="C3" s="11" t="s">
        <v>37</v>
      </c>
    </row>
    <row r="4" spans="1:3" ht="25.5">
      <c r="A4" s="11">
        <v>3</v>
      </c>
      <c r="B4" s="11" t="s">
        <v>38</v>
      </c>
      <c r="C4" s="11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30" customWidth="1"/>
    <col min="2" max="2" width="60" customWidth="1"/>
  </cols>
  <sheetData>
    <row r="1" spans="1:2" ht="31.5" customHeight="1">
      <c r="A1" s="8" t="s">
        <v>40</v>
      </c>
      <c r="B1" s="8" t="s">
        <v>41</v>
      </c>
    </row>
    <row r="2" spans="1:2">
      <c r="A2" s="10" t="s">
        <v>42</v>
      </c>
      <c r="B2" s="10" t="s">
        <v>43</v>
      </c>
    </row>
    <row r="3" spans="1:2">
      <c r="A3" s="11" t="s">
        <v>44</v>
      </c>
      <c r="B3" s="11" t="s">
        <v>45</v>
      </c>
    </row>
    <row r="4" spans="1:2">
      <c r="A4" s="11" t="s">
        <v>46</v>
      </c>
      <c r="B4" s="11"/>
    </row>
    <row r="5" spans="1:2">
      <c r="A5" s="11" t="s">
        <v>47</v>
      </c>
      <c r="B5" s="11"/>
    </row>
    <row r="6" spans="1:2">
      <c r="A6" s="11" t="s">
        <v>48</v>
      </c>
      <c r="B6" s="11" t="s">
        <v>49</v>
      </c>
    </row>
    <row r="7" spans="1:2">
      <c r="A7" s="11" t="s">
        <v>50</v>
      </c>
      <c r="B7" s="11" t="s">
        <v>51</v>
      </c>
    </row>
    <row r="8" spans="1:2">
      <c r="A8" s="11" t="s">
        <v>52</v>
      </c>
      <c r="B8" s="11" t="s">
        <v>53</v>
      </c>
    </row>
    <row r="9" spans="1:2">
      <c r="A9" s="11" t="s">
        <v>54</v>
      </c>
      <c r="B9" s="11" t="s">
        <v>55</v>
      </c>
    </row>
    <row r="10" spans="1:2">
      <c r="A10" s="11" t="s">
        <v>56</v>
      </c>
      <c r="B10" s="11" t="s">
        <v>57</v>
      </c>
    </row>
    <row r="11" spans="1:2">
      <c r="A11" s="11" t="s">
        <v>58</v>
      </c>
      <c r="B11" s="11"/>
    </row>
    <row r="12" spans="1:2">
      <c r="A12" s="11" t="s">
        <v>59</v>
      </c>
      <c r="B12" s="11"/>
    </row>
    <row r="13" spans="1:2">
      <c r="A13" s="11" t="s">
        <v>60</v>
      </c>
      <c r="B13" s="11" t="s">
        <v>61</v>
      </c>
    </row>
    <row r="14" spans="1:2">
      <c r="A14" s="11" t="s">
        <v>62</v>
      </c>
      <c r="B14" s="11"/>
    </row>
    <row r="15" spans="1:2">
      <c r="A15" s="11"/>
      <c r="B15" s="11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30" customWidth="1"/>
    <col min="2" max="2" width="60" customWidth="1"/>
  </cols>
  <sheetData>
    <row r="1" spans="1:2" ht="31.5" customHeight="1">
      <c r="A1" s="8" t="s">
        <v>64</v>
      </c>
      <c r="B1" s="8" t="s">
        <v>41</v>
      </c>
    </row>
    <row r="2" spans="1:2" ht="25.5">
      <c r="A2" s="10" t="s">
        <v>65</v>
      </c>
      <c r="B2" s="10" t="s">
        <v>66</v>
      </c>
    </row>
    <row r="3" spans="1:2">
      <c r="A3" s="11" t="s">
        <v>67</v>
      </c>
      <c r="B3" s="11"/>
    </row>
    <row r="4" spans="1:2">
      <c r="A4" s="11" t="s">
        <v>68</v>
      </c>
      <c r="B4" s="11"/>
    </row>
    <row r="5" spans="1:2">
      <c r="A5" s="11" t="s">
        <v>69</v>
      </c>
      <c r="B5" s="11"/>
    </row>
    <row r="6" spans="1:2">
      <c r="A6" s="11" t="s">
        <v>70</v>
      </c>
      <c r="B6" s="11"/>
    </row>
    <row r="7" spans="1:2">
      <c r="A7" s="11" t="s">
        <v>71</v>
      </c>
      <c r="B7" s="11" t="s">
        <v>72</v>
      </c>
    </row>
    <row r="8" spans="1:2">
      <c r="A8" s="11" t="s">
        <v>73</v>
      </c>
      <c r="B8" s="11" t="s">
        <v>74</v>
      </c>
    </row>
    <row r="9" spans="1:2">
      <c r="A9" s="11" t="s">
        <v>75</v>
      </c>
      <c r="B9" s="11"/>
    </row>
    <row r="10" spans="1:2">
      <c r="A10" s="11" t="s">
        <v>76</v>
      </c>
      <c r="B10" s="11"/>
    </row>
    <row r="11" spans="1:2">
      <c r="A11" s="11" t="s">
        <v>77</v>
      </c>
      <c r="B11" s="11" t="s">
        <v>78</v>
      </c>
    </row>
    <row r="12" spans="1:2">
      <c r="A12" s="11"/>
      <c r="B12" s="11" t="s">
        <v>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2"/>
  <sheetViews>
    <sheetView tabSelected="1" zoomScaleNormal="100" workbookViewId="0">
      <pane ySplit="1" topLeftCell="A2" activePane="bottomLeft" state="frozen"/>
      <selection pane="bottomLeft" activeCell="B6" sqref="B6"/>
    </sheetView>
  </sheetViews>
  <sheetFormatPr defaultColWidth="8.7109375" defaultRowHeight="15"/>
  <cols>
    <col min="1" max="1" width="14" customWidth="1"/>
    <col min="2" max="2" width="37.140625" customWidth="1"/>
    <col min="3" max="3" width="79.42578125" customWidth="1"/>
    <col min="4" max="4" width="18" customWidth="1"/>
    <col min="5" max="5" width="30" customWidth="1"/>
    <col min="6" max="6" width="16" customWidth="1"/>
    <col min="7" max="7" width="30" customWidth="1"/>
    <col min="8" max="8" width="62.28515625" customWidth="1"/>
    <col min="9" max="9" width="84.85546875" customWidth="1"/>
  </cols>
  <sheetData>
    <row r="1" spans="1:9" ht="31.5" customHeight="1">
      <c r="A1" s="8" t="s">
        <v>80</v>
      </c>
      <c r="B1" s="8" t="s">
        <v>81</v>
      </c>
      <c r="C1" s="8" t="s">
        <v>82</v>
      </c>
      <c r="D1" s="8" t="s">
        <v>83</v>
      </c>
      <c r="E1" s="8" t="s">
        <v>84</v>
      </c>
      <c r="F1" s="8" t="s">
        <v>85</v>
      </c>
      <c r="G1" s="8" t="s">
        <v>86</v>
      </c>
      <c r="H1" s="8" t="s">
        <v>87</v>
      </c>
      <c r="I1" s="8" t="s">
        <v>88</v>
      </c>
    </row>
    <row r="2" spans="1:9" ht="30" customHeight="1">
      <c r="A2" s="10" t="str">
        <f t="shared" ref="A2:A42" si="0">"EX-"&amp;TEXT(ROW()-1,"000")</f>
        <v>EX-001</v>
      </c>
      <c r="B2" s="11" t="s">
        <v>89</v>
      </c>
      <c r="C2" s="11" t="s">
        <v>90</v>
      </c>
      <c r="D2" s="11">
        <v>2</v>
      </c>
      <c r="E2" s="11" t="s">
        <v>91</v>
      </c>
      <c r="F2" s="11" t="s">
        <v>92</v>
      </c>
      <c r="G2" s="11" t="s">
        <v>93</v>
      </c>
      <c r="H2" s="11" t="s">
        <v>94</v>
      </c>
      <c r="I2" s="11" t="s">
        <v>95</v>
      </c>
    </row>
    <row r="3" spans="1:9" ht="30" customHeight="1">
      <c r="A3" s="12" t="str">
        <f t="shared" si="0"/>
        <v>EX-002</v>
      </c>
      <c r="B3" s="11" t="s">
        <v>96</v>
      </c>
      <c r="C3" s="15" t="s">
        <v>97</v>
      </c>
      <c r="D3" s="11">
        <v>2</v>
      </c>
      <c r="E3" s="11" t="s">
        <v>91</v>
      </c>
      <c r="F3" s="11" t="s">
        <v>92</v>
      </c>
      <c r="G3" s="11" t="s">
        <v>98</v>
      </c>
      <c r="H3" s="22" t="s">
        <v>99</v>
      </c>
      <c r="I3" s="21" t="s">
        <v>100</v>
      </c>
    </row>
    <row r="4" spans="1:9" ht="30" customHeight="1">
      <c r="A4" s="12" t="str">
        <f t="shared" si="0"/>
        <v>EX-003</v>
      </c>
      <c r="B4" s="11" t="s">
        <v>101</v>
      </c>
      <c r="C4" s="11" t="s">
        <v>102</v>
      </c>
      <c r="D4" s="11">
        <v>1</v>
      </c>
      <c r="E4" s="11" t="s">
        <v>103</v>
      </c>
      <c r="F4" s="11" t="s">
        <v>92</v>
      </c>
      <c r="G4" s="11" t="s">
        <v>104</v>
      </c>
      <c r="H4" s="23"/>
      <c r="I4" s="16" t="s">
        <v>105</v>
      </c>
    </row>
    <row r="5" spans="1:9" ht="30" customHeight="1">
      <c r="A5" s="12" t="str">
        <f t="shared" si="0"/>
        <v>EX-004</v>
      </c>
      <c r="B5" s="11" t="s">
        <v>106</v>
      </c>
      <c r="C5" s="11" t="s">
        <v>107</v>
      </c>
      <c r="D5" s="11">
        <v>2</v>
      </c>
      <c r="E5" s="15" t="s">
        <v>108</v>
      </c>
      <c r="F5" s="11" t="s">
        <v>92</v>
      </c>
      <c r="G5" s="11" t="s">
        <v>109</v>
      </c>
      <c r="H5" s="11" t="s">
        <v>110</v>
      </c>
      <c r="I5" s="16" t="s">
        <v>111</v>
      </c>
    </row>
    <row r="6" spans="1:9" ht="30" customHeight="1">
      <c r="A6" s="12" t="str">
        <f t="shared" si="0"/>
        <v>EX-005</v>
      </c>
      <c r="B6" s="11" t="s">
        <v>112</v>
      </c>
      <c r="C6" s="11"/>
      <c r="D6" s="11"/>
      <c r="E6" s="11"/>
      <c r="F6" s="11"/>
      <c r="G6" s="11"/>
      <c r="H6" s="17"/>
      <c r="I6" s="11"/>
    </row>
    <row r="7" spans="1:9" ht="30" customHeight="1">
      <c r="A7" s="12" t="str">
        <f t="shared" si="0"/>
        <v>EX-006</v>
      </c>
      <c r="B7" s="11"/>
      <c r="C7" s="11"/>
      <c r="D7" s="11"/>
      <c r="E7" s="11"/>
      <c r="F7" s="11"/>
      <c r="G7" s="11"/>
      <c r="H7" s="11"/>
      <c r="I7" s="11"/>
    </row>
    <row r="8" spans="1:9" ht="30" customHeight="1">
      <c r="A8" s="12" t="str">
        <f t="shared" si="0"/>
        <v>EX-007</v>
      </c>
      <c r="B8" s="11"/>
      <c r="C8" s="11"/>
      <c r="D8" s="11"/>
      <c r="E8" s="11"/>
      <c r="F8" s="11"/>
      <c r="G8" s="11"/>
      <c r="H8" s="11"/>
      <c r="I8" s="11"/>
    </row>
    <row r="9" spans="1:9" ht="30" customHeight="1">
      <c r="A9" s="12" t="str">
        <f t="shared" si="0"/>
        <v>EX-008</v>
      </c>
      <c r="B9" s="11"/>
      <c r="C9" s="11"/>
      <c r="D9" s="11"/>
      <c r="E9" s="11"/>
      <c r="F9" s="11"/>
      <c r="G9" s="11"/>
      <c r="H9" s="11"/>
      <c r="I9" s="11"/>
    </row>
    <row r="10" spans="1:9" ht="30" customHeight="1">
      <c r="A10" s="12" t="str">
        <f t="shared" si="0"/>
        <v>EX-009</v>
      </c>
      <c r="B10" s="11"/>
      <c r="C10" s="11"/>
      <c r="D10" s="11"/>
      <c r="E10" s="11"/>
      <c r="F10" s="11"/>
      <c r="G10" s="11"/>
      <c r="H10" s="11"/>
      <c r="I10" s="11"/>
    </row>
    <row r="11" spans="1:9" ht="30" customHeight="1">
      <c r="A11" s="12" t="str">
        <f t="shared" si="0"/>
        <v>EX-010</v>
      </c>
      <c r="B11" s="11"/>
      <c r="C11" s="11"/>
      <c r="D11" s="11"/>
      <c r="E11" s="11"/>
      <c r="F11" s="11"/>
      <c r="G11" s="11"/>
      <c r="H11" s="11"/>
      <c r="I11" s="11"/>
    </row>
    <row r="12" spans="1:9" ht="30" customHeight="1">
      <c r="A12" s="12" t="str">
        <f t="shared" si="0"/>
        <v>EX-011</v>
      </c>
      <c r="B12" s="11"/>
      <c r="C12" s="11"/>
      <c r="D12" s="11"/>
      <c r="E12" s="11"/>
      <c r="F12" s="11"/>
      <c r="G12" s="11"/>
      <c r="H12" s="11"/>
      <c r="I12" s="11"/>
    </row>
    <row r="13" spans="1:9" ht="30" customHeight="1">
      <c r="A13" s="12" t="str">
        <f t="shared" si="0"/>
        <v>EX-012</v>
      </c>
      <c r="B13" s="11"/>
      <c r="C13" s="11"/>
      <c r="D13" s="11"/>
      <c r="E13" s="11"/>
      <c r="F13" s="11"/>
      <c r="G13" s="11"/>
      <c r="H13" s="11"/>
      <c r="I13" s="11"/>
    </row>
    <row r="14" spans="1:9" ht="30" customHeight="1">
      <c r="A14" s="12" t="str">
        <f t="shared" si="0"/>
        <v>EX-013</v>
      </c>
      <c r="B14" s="11"/>
      <c r="C14" s="11"/>
      <c r="D14" s="11"/>
      <c r="E14" s="11"/>
      <c r="F14" s="11"/>
      <c r="G14" s="11"/>
      <c r="H14" s="11"/>
      <c r="I14" s="11"/>
    </row>
    <row r="15" spans="1:9" ht="30" customHeight="1">
      <c r="A15" s="12" t="str">
        <f t="shared" si="0"/>
        <v>EX-014</v>
      </c>
      <c r="B15" s="11"/>
      <c r="C15" s="11"/>
      <c r="D15" s="11"/>
      <c r="E15" s="11"/>
      <c r="F15" s="11"/>
      <c r="G15" s="11"/>
      <c r="H15" s="11"/>
      <c r="I15" s="11"/>
    </row>
    <row r="16" spans="1:9" ht="30" customHeight="1">
      <c r="A16" s="12" t="str">
        <f t="shared" si="0"/>
        <v>EX-015</v>
      </c>
      <c r="B16" s="11"/>
      <c r="C16" s="11"/>
      <c r="D16" s="11"/>
      <c r="E16" s="11"/>
      <c r="F16" s="11"/>
      <c r="G16" s="11"/>
      <c r="H16" s="11"/>
      <c r="I16" s="11"/>
    </row>
    <row r="17" spans="1:9" ht="30" customHeight="1">
      <c r="A17" s="12" t="str">
        <f t="shared" si="0"/>
        <v>EX-016</v>
      </c>
      <c r="B17" s="11"/>
      <c r="C17" s="11"/>
      <c r="D17" s="11"/>
      <c r="E17" s="11"/>
      <c r="F17" s="11"/>
      <c r="G17" s="11"/>
      <c r="H17" s="11"/>
      <c r="I17" s="11"/>
    </row>
    <row r="18" spans="1:9" ht="30" customHeight="1">
      <c r="A18" s="12" t="str">
        <f t="shared" si="0"/>
        <v>EX-017</v>
      </c>
      <c r="B18" s="11"/>
      <c r="C18" s="11"/>
      <c r="D18" s="11"/>
      <c r="E18" s="11"/>
      <c r="F18" s="11"/>
      <c r="G18" s="11"/>
      <c r="H18" s="11"/>
      <c r="I18" s="11"/>
    </row>
    <row r="19" spans="1:9" ht="30" customHeight="1">
      <c r="A19" s="12" t="str">
        <f t="shared" si="0"/>
        <v>EX-018</v>
      </c>
      <c r="B19" s="11"/>
      <c r="C19" s="11"/>
      <c r="D19" s="11"/>
      <c r="E19" s="11"/>
      <c r="F19" s="11"/>
      <c r="G19" s="11"/>
      <c r="H19" s="11"/>
      <c r="I19" s="11"/>
    </row>
    <row r="20" spans="1:9" ht="30" customHeight="1">
      <c r="A20" s="12" t="str">
        <f t="shared" si="0"/>
        <v>EX-019</v>
      </c>
      <c r="B20" s="11"/>
      <c r="C20" s="11"/>
      <c r="D20" s="11"/>
      <c r="E20" s="11"/>
      <c r="F20" s="11"/>
      <c r="G20" s="11"/>
      <c r="H20" s="11"/>
      <c r="I20" s="11"/>
    </row>
    <row r="21" spans="1:9" ht="30" customHeight="1">
      <c r="A21" s="12" t="str">
        <f t="shared" si="0"/>
        <v>EX-020</v>
      </c>
      <c r="B21" s="11"/>
      <c r="C21" s="11"/>
      <c r="D21" s="11"/>
      <c r="E21" s="11"/>
      <c r="F21" s="11"/>
      <c r="G21" s="11"/>
      <c r="H21" s="11"/>
      <c r="I21" s="11"/>
    </row>
    <row r="22" spans="1:9" ht="30" customHeight="1">
      <c r="A22" s="12" t="str">
        <f t="shared" si="0"/>
        <v>EX-021</v>
      </c>
      <c r="B22" s="11"/>
      <c r="C22" s="11"/>
      <c r="D22" s="11"/>
      <c r="E22" s="11"/>
      <c r="F22" s="11"/>
      <c r="G22" s="11"/>
      <c r="H22" s="11"/>
      <c r="I22" s="11"/>
    </row>
    <row r="23" spans="1:9" ht="30" customHeight="1">
      <c r="A23" s="12" t="str">
        <f t="shared" si="0"/>
        <v>EX-022</v>
      </c>
      <c r="B23" s="11"/>
      <c r="C23" s="11"/>
      <c r="D23" s="11"/>
      <c r="E23" s="11"/>
      <c r="F23" s="11"/>
      <c r="G23" s="11"/>
      <c r="H23" s="11"/>
      <c r="I23" s="11"/>
    </row>
    <row r="24" spans="1:9" ht="30" customHeight="1">
      <c r="A24" s="12" t="str">
        <f t="shared" si="0"/>
        <v>EX-023</v>
      </c>
      <c r="B24" s="11"/>
      <c r="C24" s="11"/>
      <c r="D24" s="11"/>
      <c r="E24" s="11"/>
      <c r="F24" s="11"/>
      <c r="G24" s="11"/>
      <c r="H24" s="11"/>
      <c r="I24" s="11"/>
    </row>
    <row r="25" spans="1:9" ht="30" customHeight="1">
      <c r="A25" s="12" t="str">
        <f t="shared" si="0"/>
        <v>EX-024</v>
      </c>
      <c r="B25" s="11"/>
      <c r="C25" s="11"/>
      <c r="D25" s="11"/>
      <c r="E25" s="11"/>
      <c r="F25" s="11"/>
      <c r="G25" s="11"/>
      <c r="H25" s="11"/>
      <c r="I25" s="11"/>
    </row>
    <row r="26" spans="1:9" ht="30" customHeight="1">
      <c r="A26" s="12" t="str">
        <f t="shared" si="0"/>
        <v>EX-025</v>
      </c>
      <c r="B26" s="11"/>
      <c r="C26" s="11"/>
      <c r="D26" s="11"/>
      <c r="E26" s="11"/>
      <c r="F26" s="11"/>
      <c r="G26" s="11"/>
      <c r="H26" s="11"/>
      <c r="I26" s="11"/>
    </row>
    <row r="27" spans="1:9" ht="30" customHeight="1">
      <c r="A27" s="12" t="str">
        <f t="shared" si="0"/>
        <v>EX-026</v>
      </c>
      <c r="B27" s="11"/>
      <c r="C27" s="11"/>
      <c r="D27" s="11"/>
      <c r="E27" s="11"/>
      <c r="F27" s="11"/>
      <c r="G27" s="11"/>
      <c r="H27" s="11"/>
      <c r="I27" s="11"/>
    </row>
    <row r="28" spans="1:9" ht="30" customHeight="1">
      <c r="A28" s="12" t="str">
        <f t="shared" si="0"/>
        <v>EX-027</v>
      </c>
      <c r="B28" s="11"/>
      <c r="C28" s="11"/>
      <c r="D28" s="11"/>
      <c r="E28" s="11"/>
      <c r="F28" s="11"/>
      <c r="G28" s="11"/>
      <c r="H28" s="11"/>
      <c r="I28" s="11"/>
    </row>
    <row r="29" spans="1:9" ht="30" customHeight="1">
      <c r="A29" s="12" t="str">
        <f t="shared" si="0"/>
        <v>EX-028</v>
      </c>
      <c r="B29" s="11"/>
      <c r="C29" s="11"/>
      <c r="D29" s="11"/>
      <c r="E29" s="11"/>
      <c r="F29" s="11"/>
      <c r="G29" s="11"/>
      <c r="H29" s="11"/>
      <c r="I29" s="11"/>
    </row>
    <row r="30" spans="1:9" ht="30" customHeight="1">
      <c r="A30" s="12" t="str">
        <f t="shared" si="0"/>
        <v>EX-029</v>
      </c>
      <c r="B30" s="11"/>
      <c r="C30" s="11"/>
      <c r="D30" s="11"/>
      <c r="E30" s="11"/>
      <c r="F30" s="11"/>
      <c r="G30" s="11"/>
      <c r="H30" s="11"/>
      <c r="I30" s="11"/>
    </row>
    <row r="31" spans="1:9" ht="30" customHeight="1">
      <c r="A31" s="12" t="str">
        <f t="shared" si="0"/>
        <v>EX-030</v>
      </c>
      <c r="B31" s="11"/>
      <c r="C31" s="11"/>
      <c r="D31" s="11"/>
      <c r="E31" s="11"/>
      <c r="F31" s="11"/>
      <c r="G31" s="11"/>
      <c r="H31" s="11"/>
      <c r="I31" s="11"/>
    </row>
    <row r="32" spans="1:9" ht="30" customHeight="1">
      <c r="A32" s="12" t="str">
        <f t="shared" si="0"/>
        <v>EX-031</v>
      </c>
      <c r="B32" s="11"/>
      <c r="C32" s="11"/>
      <c r="D32" s="11"/>
      <c r="E32" s="11"/>
      <c r="F32" s="11"/>
      <c r="G32" s="11"/>
      <c r="H32" s="11"/>
      <c r="I32" s="11"/>
    </row>
    <row r="33" spans="1:9" ht="30" customHeight="1">
      <c r="A33" s="12" t="str">
        <f t="shared" si="0"/>
        <v>EX-032</v>
      </c>
      <c r="B33" s="11"/>
      <c r="C33" s="11"/>
      <c r="D33" s="11"/>
      <c r="E33" s="11"/>
      <c r="F33" s="11"/>
      <c r="G33" s="11"/>
      <c r="H33" s="11"/>
      <c r="I33" s="11"/>
    </row>
    <row r="34" spans="1:9" ht="30" customHeight="1">
      <c r="A34" s="12" t="str">
        <f t="shared" si="0"/>
        <v>EX-033</v>
      </c>
      <c r="B34" s="11"/>
      <c r="C34" s="11"/>
      <c r="D34" s="11"/>
      <c r="E34" s="11"/>
      <c r="F34" s="11"/>
      <c r="G34" s="11"/>
      <c r="H34" s="11"/>
      <c r="I34" s="11"/>
    </row>
    <row r="35" spans="1:9" ht="30" customHeight="1">
      <c r="A35" s="12" t="str">
        <f t="shared" si="0"/>
        <v>EX-034</v>
      </c>
      <c r="B35" s="11"/>
      <c r="C35" s="11"/>
      <c r="D35" s="11"/>
      <c r="E35" s="11"/>
      <c r="F35" s="11"/>
      <c r="G35" s="11"/>
      <c r="H35" s="11"/>
      <c r="I35" s="11"/>
    </row>
    <row r="36" spans="1:9" ht="30" customHeight="1">
      <c r="A36" s="12" t="str">
        <f t="shared" si="0"/>
        <v>EX-035</v>
      </c>
      <c r="B36" s="11"/>
      <c r="C36" s="11"/>
      <c r="D36" s="11"/>
      <c r="E36" s="11"/>
      <c r="F36" s="11"/>
      <c r="G36" s="11"/>
      <c r="H36" s="11"/>
      <c r="I36" s="11"/>
    </row>
    <row r="37" spans="1:9" ht="30" customHeight="1">
      <c r="A37" s="12" t="str">
        <f t="shared" si="0"/>
        <v>EX-036</v>
      </c>
      <c r="B37" s="11"/>
      <c r="C37" s="11"/>
      <c r="D37" s="11"/>
      <c r="E37" s="11"/>
      <c r="F37" s="11"/>
      <c r="G37" s="11"/>
      <c r="H37" s="11"/>
      <c r="I37" s="11"/>
    </row>
    <row r="38" spans="1:9" ht="30" customHeight="1">
      <c r="A38" s="12" t="str">
        <f t="shared" si="0"/>
        <v>EX-037</v>
      </c>
      <c r="B38" s="11"/>
      <c r="C38" s="11"/>
      <c r="D38" s="11"/>
      <c r="E38" s="11"/>
      <c r="F38" s="11"/>
      <c r="G38" s="11"/>
      <c r="H38" s="11"/>
      <c r="I38" s="11"/>
    </row>
    <row r="39" spans="1:9" ht="30" customHeight="1">
      <c r="A39" s="12" t="str">
        <f t="shared" si="0"/>
        <v>EX-038</v>
      </c>
      <c r="B39" s="11"/>
      <c r="C39" s="11"/>
      <c r="D39" s="11"/>
      <c r="E39" s="11"/>
      <c r="F39" s="11"/>
      <c r="G39" s="11"/>
      <c r="H39" s="11"/>
      <c r="I39" s="11"/>
    </row>
    <row r="40" spans="1:9" ht="30" customHeight="1">
      <c r="A40" s="12" t="str">
        <f t="shared" si="0"/>
        <v>EX-039</v>
      </c>
      <c r="B40" s="11"/>
      <c r="C40" s="11"/>
      <c r="D40" s="11"/>
      <c r="E40" s="11"/>
      <c r="F40" s="11"/>
      <c r="G40" s="11"/>
      <c r="H40" s="11"/>
      <c r="I40" s="11"/>
    </row>
    <row r="41" spans="1:9" ht="30" customHeight="1">
      <c r="A41" s="12" t="str">
        <f t="shared" si="0"/>
        <v>EX-040</v>
      </c>
      <c r="B41" s="11"/>
      <c r="C41" s="11"/>
      <c r="D41" s="11"/>
      <c r="E41" s="11"/>
      <c r="F41" s="11"/>
      <c r="G41" s="11"/>
      <c r="H41" s="11"/>
      <c r="I41" s="11"/>
    </row>
    <row r="42" spans="1:9" ht="30" customHeight="1">
      <c r="A42" s="12" t="str">
        <f t="shared" si="0"/>
        <v>EX-041</v>
      </c>
      <c r="B42" s="11"/>
      <c r="C42" s="11"/>
      <c r="D42" s="11"/>
      <c r="E42" s="11"/>
      <c r="F42" s="11"/>
      <c r="G42" s="11"/>
      <c r="H42" s="11"/>
      <c r="I42" s="11"/>
    </row>
  </sheetData>
  <hyperlinks>
    <hyperlink ref="I3" r:id="rId1" xr:uid="{E506CED4-2DE8-4279-8A76-F8EDBA50D87D}"/>
    <hyperlink ref="I4" r:id="rId2" xr:uid="{C23CFB9E-7BC6-4004-9081-EADB00FD4A8C}"/>
    <hyperlink ref="I5" r:id="rId3" xr:uid="{BA1C577A-C00C-4B6A-B082-260E630535EF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5"/>
  <sheetViews>
    <sheetView zoomScaleNormal="100" workbookViewId="0">
      <pane ySplit="1" topLeftCell="A2" activePane="bottomLeft" state="frozen"/>
      <selection pane="bottomLeft" activeCell="F6" sqref="F6"/>
    </sheetView>
  </sheetViews>
  <sheetFormatPr defaultColWidth="8.7109375" defaultRowHeight="15"/>
  <cols>
    <col min="1" max="1" width="34" customWidth="1"/>
    <col min="2" max="2" width="18" customWidth="1"/>
    <col min="3" max="3" width="34" customWidth="1"/>
    <col min="4" max="4" width="18" customWidth="1"/>
    <col min="5" max="5" width="20" customWidth="1"/>
    <col min="6" max="6" width="22" customWidth="1"/>
  </cols>
  <sheetData>
    <row r="1" spans="1:6" ht="31.5" customHeight="1">
      <c r="A1" s="8" t="s">
        <v>113</v>
      </c>
      <c r="B1" s="8" t="s">
        <v>114</v>
      </c>
      <c r="C1" s="8" t="s">
        <v>115</v>
      </c>
      <c r="D1" s="8" t="s">
        <v>114</v>
      </c>
      <c r="E1" s="8" t="s">
        <v>116</v>
      </c>
      <c r="F1" s="8" t="s">
        <v>117</v>
      </c>
    </row>
    <row r="2" spans="1:6" ht="24" customHeight="1">
      <c r="A2" s="11" t="s">
        <v>89</v>
      </c>
      <c r="B2" s="10" t="str">
        <f>IFERROR(INDEX(Exercícios!$A$2:$A$42,MATCH(A2,Exercícios!$B$2:$B$42,0)),"")</f>
        <v>EX-001</v>
      </c>
      <c r="C2" s="11" t="s">
        <v>118</v>
      </c>
      <c r="D2" s="10" t="str">
        <f>IFERROR(INDEX(Exercícios!$A$2:$A$42,MATCH(C2,Exercícios!$B$2:$B$42,0)),"")</f>
        <v/>
      </c>
      <c r="E2" s="11">
        <v>1</v>
      </c>
      <c r="F2" s="11" t="s">
        <v>92</v>
      </c>
    </row>
    <row r="3" spans="1:6" ht="24" customHeight="1">
      <c r="A3" s="11" t="s">
        <v>96</v>
      </c>
      <c r="B3" s="12" t="str">
        <f>IFERROR(INDEX(Exercícios!$A$2:$A$42,MATCH(A3,Exercícios!$B$2:$B$42,0)),"")</f>
        <v>EX-002</v>
      </c>
      <c r="C3" s="18" t="s">
        <v>119</v>
      </c>
      <c r="D3" s="12" t="str">
        <f>IFERROR(INDEX(Exercícios!$A$2:$A$42,MATCH(C3,Exercícios!$B$2:$B$42,0)),"")</f>
        <v/>
      </c>
      <c r="E3" s="11">
        <v>1</v>
      </c>
      <c r="F3" s="11" t="s">
        <v>92</v>
      </c>
    </row>
    <row r="4" spans="1:6" ht="24" customHeight="1">
      <c r="A4" s="11" t="s">
        <v>101</v>
      </c>
      <c r="B4" s="12" t="str">
        <f>IFERROR(INDEX(Exercícios!$A$2:$A$42,MATCH(A4,Exercícios!$B$2:$B$42,0)),"")</f>
        <v>EX-003</v>
      </c>
      <c r="C4" s="15" t="s">
        <v>120</v>
      </c>
      <c r="D4" s="12" t="str">
        <f>IFERROR(INDEX(Exercícios!$A$2:$A$42,MATCH(C4,Exercícios!$B$2:$B$42,0)),"")</f>
        <v/>
      </c>
      <c r="E4" s="11">
        <v>1</v>
      </c>
      <c r="F4" s="11" t="s">
        <v>121</v>
      </c>
    </row>
    <row r="5" spans="1:6" ht="24" customHeight="1">
      <c r="A5" s="11" t="s">
        <v>106</v>
      </c>
      <c r="B5" s="12" t="str">
        <f>IFERROR(INDEX(Exercícios!$A$2:$A$42,MATCH(A5,Exercícios!$B$2:$B$42,0)),"")</f>
        <v>EX-004</v>
      </c>
      <c r="C5" s="11" t="s">
        <v>122</v>
      </c>
      <c r="D5" s="12" t="str">
        <f>IFERROR(INDEX(Exercícios!$A$2:$A$42,MATCH(C5,Exercícios!$B$2:$B$42,0)),"")</f>
        <v/>
      </c>
      <c r="E5" s="11">
        <v>1</v>
      </c>
      <c r="F5" s="11" t="s">
        <v>121</v>
      </c>
    </row>
    <row r="6" spans="1:6" ht="24" customHeight="1">
      <c r="A6" s="11"/>
      <c r="B6" s="12" t="str">
        <f>IFERROR(INDEX(Exercícios!$A$2:$A$42,MATCH(A6,Exercícios!$B$2:$B$42,0)),"")</f>
        <v/>
      </c>
      <c r="C6" s="11"/>
      <c r="D6" s="12" t="str">
        <f>IFERROR(INDEX(Exercícios!$A$2:$A$42,MATCH(C6,Exercícios!$B$2:$B$42,0)),"")</f>
        <v/>
      </c>
      <c r="E6" s="11"/>
      <c r="F6" s="11"/>
    </row>
    <row r="7" spans="1:6" ht="24" customHeight="1">
      <c r="A7" s="11"/>
      <c r="B7" s="12" t="str">
        <f>IFERROR(INDEX(Exercícios!$A$2:$A$42,MATCH(A7,Exercícios!$B$2:$B$42,0)),"")</f>
        <v/>
      </c>
      <c r="C7" s="11"/>
      <c r="D7" s="12" t="str">
        <f>IFERROR(INDEX(Exercícios!$A$2:$A$42,MATCH(C7,Exercícios!$B$2:$B$42,0)),"")</f>
        <v/>
      </c>
      <c r="E7" s="11"/>
      <c r="F7" s="11"/>
    </row>
    <row r="8" spans="1:6" ht="24" customHeight="1">
      <c r="A8" s="11"/>
      <c r="B8" s="12" t="str">
        <f>IFERROR(INDEX(Exercícios!$A$2:$A$42,MATCH(A8,Exercícios!$B$2:$B$42,0)),"")</f>
        <v/>
      </c>
      <c r="C8" s="11"/>
      <c r="D8" s="12" t="str">
        <f>IFERROR(INDEX(Exercícios!$A$2:$A$42,MATCH(C8,Exercícios!$B$2:$B$42,0)),"")</f>
        <v/>
      </c>
      <c r="E8" s="11"/>
      <c r="F8" s="11"/>
    </row>
    <row r="9" spans="1:6" ht="24" customHeight="1">
      <c r="A9" s="11"/>
      <c r="B9" s="12" t="str">
        <f>IFERROR(INDEX(Exercícios!$A$2:$A$42,MATCH(A9,Exercícios!$B$2:$B$42,0)),"")</f>
        <v/>
      </c>
      <c r="C9" s="11"/>
      <c r="D9" s="12" t="str">
        <f>IFERROR(INDEX(Exercícios!$A$2:$A$42,MATCH(C9,Exercícios!$B$2:$B$42,0)),"")</f>
        <v/>
      </c>
      <c r="E9" s="11"/>
      <c r="F9" s="11"/>
    </row>
    <row r="10" spans="1:6" ht="24" customHeight="1">
      <c r="A10" s="11"/>
      <c r="B10" s="12" t="str">
        <f>IFERROR(INDEX(Exercícios!$A$2:$A$42,MATCH(A10,Exercícios!$B$2:$B$42,0)),"")</f>
        <v/>
      </c>
      <c r="C10" s="11"/>
      <c r="D10" s="12" t="str">
        <f>IFERROR(INDEX(Exercícios!$A$2:$A$42,MATCH(C10,Exercícios!$B$2:$B$42,0)),"")</f>
        <v/>
      </c>
      <c r="E10" s="11"/>
      <c r="F10" s="11"/>
    </row>
    <row r="11" spans="1:6" ht="24" customHeight="1">
      <c r="A11" s="11"/>
      <c r="B11" s="12" t="str">
        <f>IFERROR(INDEX(Exercícios!$A$2:$A$42,MATCH(A11,Exercícios!$B$2:$B$42,0)),"")</f>
        <v/>
      </c>
      <c r="C11" s="11"/>
      <c r="D11" s="12" t="str">
        <f>IFERROR(INDEX(Exercícios!$A$2:$A$42,MATCH(C11,Exercícios!$B$2:$B$42,0)),"")</f>
        <v/>
      </c>
      <c r="E11" s="11"/>
      <c r="F11" s="11"/>
    </row>
    <row r="12" spans="1:6" ht="24" customHeight="1">
      <c r="A12" s="11"/>
      <c r="B12" s="12" t="str">
        <f>IFERROR(INDEX(Exercícios!$A$2:$A$42,MATCH(A12,Exercícios!$B$2:$B$42,0)),"")</f>
        <v/>
      </c>
      <c r="C12" s="11"/>
      <c r="D12" s="12" t="str">
        <f>IFERROR(INDEX(Exercícios!$A$2:$A$42,MATCH(C12,Exercícios!$B$2:$B$42,0)),"")</f>
        <v/>
      </c>
      <c r="E12" s="11"/>
      <c r="F12" s="11"/>
    </row>
    <row r="13" spans="1:6" ht="24" customHeight="1">
      <c r="A13" s="11"/>
      <c r="B13" s="12" t="str">
        <f>IFERROR(INDEX(Exercícios!$A$2:$A$42,MATCH(A13,Exercícios!$B$2:$B$42,0)),"")</f>
        <v/>
      </c>
      <c r="C13" s="11"/>
      <c r="D13" s="12" t="str">
        <f>IFERROR(INDEX(Exercícios!$A$2:$A$42,MATCH(C13,Exercícios!$B$2:$B$42,0)),"")</f>
        <v/>
      </c>
      <c r="E13" s="11"/>
      <c r="F13" s="11"/>
    </row>
    <row r="14" spans="1:6" ht="24" customHeight="1">
      <c r="A14" s="11"/>
      <c r="B14" s="12" t="str">
        <f>IFERROR(INDEX(Exercícios!$A$2:$A$42,MATCH(A14,Exercícios!$B$2:$B$42,0)),"")</f>
        <v/>
      </c>
      <c r="C14" s="11"/>
      <c r="D14" s="12" t="str">
        <f>IFERROR(INDEX(Exercícios!$A$2:$A$42,MATCH(C14,Exercícios!$B$2:$B$42,0)),"")</f>
        <v/>
      </c>
      <c r="E14" s="11"/>
      <c r="F14" s="11"/>
    </row>
    <row r="15" spans="1:6" ht="24" customHeight="1">
      <c r="A15" s="11"/>
      <c r="B15" s="12" t="str">
        <f>IFERROR(INDEX(Exercícios!$A$2:$A$42,MATCH(A15,Exercícios!$B$2:$B$42,0)),"")</f>
        <v/>
      </c>
      <c r="C15" s="11"/>
      <c r="D15" s="12" t="str">
        <f>IFERROR(INDEX(Exercícios!$A$2:$A$42,MATCH(C15,Exercícios!$B$2:$B$42,0)),"")</f>
        <v/>
      </c>
      <c r="E15" s="11"/>
      <c r="F15" s="11"/>
    </row>
    <row r="16" spans="1:6" ht="24" customHeight="1">
      <c r="A16" s="11"/>
      <c r="B16" s="12" t="str">
        <f>IFERROR(INDEX(Exercícios!$A$2:$A$42,MATCH(A16,Exercícios!$B$2:$B$42,0)),"")</f>
        <v/>
      </c>
      <c r="C16" s="11"/>
      <c r="D16" s="12" t="str">
        <f>IFERROR(INDEX(Exercícios!$A$2:$A$42,MATCH(C16,Exercícios!$B$2:$B$42,0)),"")</f>
        <v/>
      </c>
      <c r="E16" s="11"/>
      <c r="F16" s="11"/>
    </row>
    <row r="17" spans="1:6" ht="24" customHeight="1">
      <c r="A17" s="11"/>
      <c r="B17" s="12" t="str">
        <f>IFERROR(INDEX(Exercícios!$A$2:$A$42,MATCH(A17,Exercícios!$B$2:$B$42,0)),"")</f>
        <v/>
      </c>
      <c r="C17" s="11"/>
      <c r="D17" s="12" t="str">
        <f>IFERROR(INDEX(Exercícios!$A$2:$A$42,MATCH(C17,Exercícios!$B$2:$B$42,0)),"")</f>
        <v/>
      </c>
      <c r="E17" s="11"/>
      <c r="F17" s="11"/>
    </row>
    <row r="18" spans="1:6" ht="24" customHeight="1">
      <c r="A18" s="11"/>
      <c r="B18" s="12" t="str">
        <f>IFERROR(INDEX(Exercícios!$A$2:$A$42,MATCH(A18,Exercícios!$B$2:$B$42,0)),"")</f>
        <v/>
      </c>
      <c r="C18" s="11"/>
      <c r="D18" s="12" t="str">
        <f>IFERROR(INDEX(Exercícios!$A$2:$A$42,MATCH(C18,Exercícios!$B$2:$B$42,0)),"")</f>
        <v/>
      </c>
      <c r="E18" s="11"/>
      <c r="F18" s="11"/>
    </row>
    <row r="19" spans="1:6" ht="24" customHeight="1">
      <c r="A19" s="11"/>
      <c r="B19" s="12" t="str">
        <f>IFERROR(INDEX(Exercícios!$A$2:$A$42,MATCH(A19,Exercícios!$B$2:$B$42,0)),"")</f>
        <v/>
      </c>
      <c r="C19" s="11"/>
      <c r="D19" s="12" t="str">
        <f>IFERROR(INDEX(Exercícios!$A$2:$A$42,MATCH(C19,Exercícios!$B$2:$B$42,0)),"")</f>
        <v/>
      </c>
      <c r="E19" s="11"/>
      <c r="F19" s="11"/>
    </row>
    <row r="20" spans="1:6" ht="24" customHeight="1">
      <c r="A20" s="11"/>
      <c r="B20" s="12" t="str">
        <f>IFERROR(INDEX(Exercícios!$A$2:$A$42,MATCH(A20,Exercícios!$B$2:$B$42,0)),"")</f>
        <v/>
      </c>
      <c r="C20" s="11"/>
      <c r="D20" s="12" t="str">
        <f>IFERROR(INDEX(Exercícios!$A$2:$A$42,MATCH(C20,Exercícios!$B$2:$B$42,0)),"")</f>
        <v/>
      </c>
      <c r="E20" s="11"/>
      <c r="F20" s="11"/>
    </row>
    <row r="21" spans="1:6" ht="24" customHeight="1">
      <c r="A21" s="11"/>
      <c r="B21" s="12" t="str">
        <f>IFERROR(INDEX(Exercícios!$A$2:$A$42,MATCH(A21,Exercícios!$B$2:$B$42,0)),"")</f>
        <v/>
      </c>
      <c r="C21" s="11"/>
      <c r="D21" s="12" t="str">
        <f>IFERROR(INDEX(Exercícios!$A$2:$A$42,MATCH(C21,Exercícios!$B$2:$B$42,0)),"")</f>
        <v/>
      </c>
      <c r="E21" s="11"/>
      <c r="F21" s="11"/>
    </row>
    <row r="22" spans="1:6" ht="24" customHeight="1">
      <c r="A22" s="11"/>
      <c r="B22" s="12" t="str">
        <f>IFERROR(INDEX(Exercícios!$A$2:$A$42,MATCH(A22,Exercícios!$B$2:$B$42,0)),"")</f>
        <v/>
      </c>
      <c r="C22" s="11"/>
      <c r="D22" s="12" t="str">
        <f>IFERROR(INDEX(Exercícios!$A$2:$A$42,MATCH(C22,Exercícios!$B$2:$B$42,0)),"")</f>
        <v/>
      </c>
      <c r="E22" s="11"/>
      <c r="F22" s="11"/>
    </row>
    <row r="23" spans="1:6" ht="24" customHeight="1">
      <c r="A23" s="11"/>
      <c r="B23" s="12" t="str">
        <f>IFERROR(INDEX(Exercícios!$A$2:$A$42,MATCH(A23,Exercícios!$B$2:$B$42,0)),"")</f>
        <v/>
      </c>
      <c r="C23" s="11"/>
      <c r="D23" s="12" t="str">
        <f>IFERROR(INDEX(Exercícios!$A$2:$A$42,MATCH(C23,Exercícios!$B$2:$B$42,0)),"")</f>
        <v/>
      </c>
      <c r="E23" s="11"/>
      <c r="F23" s="11"/>
    </row>
    <row r="24" spans="1:6" ht="24" customHeight="1">
      <c r="A24" s="11"/>
      <c r="B24" s="12" t="str">
        <f>IFERROR(INDEX(Exercícios!$A$2:$A$42,MATCH(A24,Exercícios!$B$2:$B$42,0)),"")</f>
        <v/>
      </c>
      <c r="C24" s="11"/>
      <c r="D24" s="12" t="str">
        <f>IFERROR(INDEX(Exercícios!$A$2:$A$42,MATCH(C24,Exercícios!$B$2:$B$42,0)),"")</f>
        <v/>
      </c>
      <c r="E24" s="11"/>
      <c r="F24" s="11"/>
    </row>
    <row r="25" spans="1:6" ht="24" customHeight="1">
      <c r="A25" s="11"/>
      <c r="B25" s="12" t="str">
        <f>IFERROR(INDEX(Exercícios!$A$2:$A$42,MATCH(A25,Exercícios!$B$2:$B$42,0)),"")</f>
        <v/>
      </c>
      <c r="C25" s="11"/>
      <c r="D25" s="12" t="str">
        <f>IFERROR(INDEX(Exercícios!$A$2:$A$42,MATCH(C25,Exercícios!$B$2:$B$42,0)),"")</f>
        <v/>
      </c>
      <c r="E25" s="11"/>
      <c r="F25" s="11"/>
    </row>
    <row r="26" spans="1:6" ht="24" customHeight="1">
      <c r="A26" s="11"/>
      <c r="B26" s="12" t="str">
        <f>IFERROR(INDEX(Exercícios!$A$2:$A$42,MATCH(A26,Exercícios!$B$2:$B$42,0)),"")</f>
        <v/>
      </c>
      <c r="C26" s="11"/>
      <c r="D26" s="12" t="str">
        <f>IFERROR(INDEX(Exercícios!$A$2:$A$42,MATCH(C26,Exercícios!$B$2:$B$42,0)),"")</f>
        <v/>
      </c>
      <c r="E26" s="11"/>
      <c r="F26" s="11"/>
    </row>
    <row r="27" spans="1:6" ht="24" customHeight="1">
      <c r="A27" s="11"/>
      <c r="B27" s="12" t="str">
        <f>IFERROR(INDEX(Exercícios!$A$2:$A$42,MATCH(A27,Exercícios!$B$2:$B$42,0)),"")</f>
        <v/>
      </c>
      <c r="C27" s="11"/>
      <c r="D27" s="12" t="str">
        <f>IFERROR(INDEX(Exercícios!$A$2:$A$42,MATCH(C27,Exercícios!$B$2:$B$42,0)),"")</f>
        <v/>
      </c>
      <c r="E27" s="11"/>
      <c r="F27" s="11"/>
    </row>
    <row r="28" spans="1:6" ht="24" customHeight="1">
      <c r="A28" s="11"/>
      <c r="B28" s="12" t="str">
        <f>IFERROR(INDEX(Exercícios!$A$2:$A$42,MATCH(A28,Exercícios!$B$2:$B$42,0)),"")</f>
        <v/>
      </c>
      <c r="C28" s="11"/>
      <c r="D28" s="12" t="str">
        <f>IFERROR(INDEX(Exercícios!$A$2:$A$42,MATCH(C28,Exercícios!$B$2:$B$42,0)),"")</f>
        <v/>
      </c>
      <c r="E28" s="11"/>
      <c r="F28" s="11"/>
    </row>
    <row r="29" spans="1:6" ht="24" customHeight="1">
      <c r="A29" s="11"/>
      <c r="B29" s="12" t="str">
        <f>IFERROR(INDEX(Exercícios!$A$2:$A$42,MATCH(A29,Exercícios!$B$2:$B$42,0)),"")</f>
        <v/>
      </c>
      <c r="C29" s="11"/>
      <c r="D29" s="12" t="str">
        <f>IFERROR(INDEX(Exercícios!$A$2:$A$42,MATCH(C29,Exercícios!$B$2:$B$42,0)),"")</f>
        <v/>
      </c>
      <c r="E29" s="11"/>
      <c r="F29" s="11"/>
    </row>
    <row r="30" spans="1:6" ht="24" customHeight="1">
      <c r="A30" s="11"/>
      <c r="B30" s="12" t="str">
        <f>IFERROR(INDEX(Exercícios!$A$2:$A$42,MATCH(A30,Exercícios!$B$2:$B$42,0)),"")</f>
        <v/>
      </c>
      <c r="C30" s="11"/>
      <c r="D30" s="12" t="str">
        <f>IFERROR(INDEX(Exercícios!$A$2:$A$42,MATCH(C30,Exercícios!$B$2:$B$42,0)),"")</f>
        <v/>
      </c>
      <c r="E30" s="11"/>
      <c r="F30" s="11"/>
    </row>
    <row r="31" spans="1:6" ht="24" customHeight="1">
      <c r="A31" s="11"/>
      <c r="B31" s="12" t="str">
        <f>IFERROR(INDEX(Exercícios!$A$2:$A$42,MATCH(A31,Exercícios!$B$2:$B$42,0)),"")</f>
        <v/>
      </c>
      <c r="C31" s="11"/>
      <c r="D31" s="12" t="str">
        <f>IFERROR(INDEX(Exercícios!$A$2:$A$42,MATCH(C31,Exercícios!$B$2:$B$42,0)),"")</f>
        <v/>
      </c>
      <c r="E31" s="11"/>
      <c r="F31" s="11"/>
    </row>
    <row r="32" spans="1:6" ht="24" customHeight="1">
      <c r="A32" s="11"/>
      <c r="B32" s="12" t="str">
        <f>IFERROR(INDEX(Exercícios!$A$2:$A$42,MATCH(A32,Exercícios!$B$2:$B$42,0)),"")</f>
        <v/>
      </c>
      <c r="C32" s="11"/>
      <c r="D32" s="12" t="str">
        <f>IFERROR(INDEX(Exercícios!$A$2:$A$42,MATCH(C32,Exercícios!$B$2:$B$42,0)),"")</f>
        <v/>
      </c>
      <c r="E32" s="11"/>
      <c r="F32" s="11"/>
    </row>
    <row r="33" spans="1:6" ht="24" customHeight="1">
      <c r="A33" s="11"/>
      <c r="B33" s="12" t="str">
        <f>IFERROR(INDEX(Exercícios!$A$2:$A$42,MATCH(A33,Exercícios!$B$2:$B$42,0)),"")</f>
        <v/>
      </c>
      <c r="C33" s="11"/>
      <c r="D33" s="12" t="str">
        <f>IFERROR(INDEX(Exercícios!$A$2:$A$42,MATCH(C33,Exercícios!$B$2:$B$42,0)),"")</f>
        <v/>
      </c>
      <c r="E33" s="11"/>
      <c r="F33" s="11"/>
    </row>
    <row r="34" spans="1:6" ht="24" customHeight="1">
      <c r="A34" s="11"/>
      <c r="B34" s="12" t="str">
        <f>IFERROR(INDEX(Exercícios!$A$2:$A$42,MATCH(A34,Exercícios!$B$2:$B$42,0)),"")</f>
        <v/>
      </c>
      <c r="C34" s="11"/>
      <c r="D34" s="12" t="str">
        <f>IFERROR(INDEX(Exercícios!$A$2:$A$42,MATCH(C34,Exercícios!$B$2:$B$42,0)),"")</f>
        <v/>
      </c>
      <c r="E34" s="11"/>
      <c r="F34" s="11"/>
    </row>
    <row r="35" spans="1:6" ht="24" customHeight="1">
      <c r="A35" s="11"/>
      <c r="B35" s="12" t="str">
        <f>IFERROR(INDEX(Exercícios!$A$2:$A$42,MATCH(A35,Exercícios!$B$2:$B$42,0)),"")</f>
        <v/>
      </c>
      <c r="C35" s="11"/>
      <c r="D35" s="12" t="str">
        <f>IFERROR(INDEX(Exercícios!$A$2:$A$42,MATCH(C35,Exercícios!$B$2:$B$42,0)),"")</f>
        <v/>
      </c>
      <c r="E35" s="11"/>
      <c r="F35" s="11"/>
    </row>
    <row r="36" spans="1:6" ht="24" customHeight="1">
      <c r="A36" s="11"/>
      <c r="B36" s="12" t="str">
        <f>IFERROR(INDEX(Exercícios!$A$2:$A$42,MATCH(A36,Exercícios!$B$2:$B$42,0)),"")</f>
        <v/>
      </c>
      <c r="C36" s="11"/>
      <c r="D36" s="12" t="str">
        <f>IFERROR(INDEX(Exercícios!$A$2:$A$42,MATCH(C36,Exercícios!$B$2:$B$42,0)),"")</f>
        <v/>
      </c>
      <c r="E36" s="11"/>
      <c r="F36" s="11"/>
    </row>
    <row r="37" spans="1:6" ht="24" customHeight="1">
      <c r="A37" s="11"/>
      <c r="B37" s="12" t="str">
        <f>IFERROR(INDEX(Exercícios!$A$2:$A$42,MATCH(A37,Exercícios!$B$2:$B$42,0)),"")</f>
        <v/>
      </c>
      <c r="C37" s="11"/>
      <c r="D37" s="12" t="str">
        <f>IFERROR(INDEX(Exercícios!$A$2:$A$42,MATCH(C37,Exercícios!$B$2:$B$42,0)),"")</f>
        <v/>
      </c>
      <c r="E37" s="11"/>
      <c r="F37" s="11"/>
    </row>
    <row r="38" spans="1:6" ht="24" customHeight="1">
      <c r="A38" s="11"/>
      <c r="B38" s="12" t="str">
        <f>IFERROR(INDEX(Exercícios!$A$2:$A$42,MATCH(A38,Exercícios!$B$2:$B$42,0)),"")</f>
        <v/>
      </c>
      <c r="C38" s="11"/>
      <c r="D38" s="12" t="str">
        <f>IFERROR(INDEX(Exercícios!$A$2:$A$42,MATCH(C38,Exercícios!$B$2:$B$42,0)),"")</f>
        <v/>
      </c>
      <c r="E38" s="11"/>
      <c r="F38" s="11"/>
    </row>
    <row r="39" spans="1:6" ht="24" customHeight="1">
      <c r="A39" s="11"/>
      <c r="B39" s="12" t="str">
        <f>IFERROR(INDEX(Exercícios!$A$2:$A$42,MATCH(A39,Exercícios!$B$2:$B$42,0)),"")</f>
        <v/>
      </c>
      <c r="C39" s="11"/>
      <c r="D39" s="12" t="str">
        <f>IFERROR(INDEX(Exercícios!$A$2:$A$42,MATCH(C39,Exercícios!$B$2:$B$42,0)),"")</f>
        <v/>
      </c>
      <c r="E39" s="11"/>
      <c r="F39" s="11"/>
    </row>
    <row r="40" spans="1:6" ht="24" customHeight="1">
      <c r="A40" s="11"/>
      <c r="B40" s="12" t="str">
        <f>IFERROR(INDEX(Exercícios!$A$2:$A$42,MATCH(A40,Exercícios!$B$2:$B$42,0)),"")</f>
        <v/>
      </c>
      <c r="C40" s="11"/>
      <c r="D40" s="12" t="str">
        <f>IFERROR(INDEX(Exercícios!$A$2:$A$42,MATCH(C40,Exercícios!$B$2:$B$42,0)),"")</f>
        <v/>
      </c>
      <c r="E40" s="11"/>
      <c r="F40" s="11"/>
    </row>
    <row r="41" spans="1:6" ht="24" customHeight="1">
      <c r="A41" s="11"/>
      <c r="B41" s="12" t="str">
        <f>IFERROR(INDEX(Exercícios!$A$2:$A$42,MATCH(A41,Exercícios!$B$2:$B$42,0)),"")</f>
        <v/>
      </c>
      <c r="C41" s="11"/>
      <c r="D41" s="12" t="str">
        <f>IFERROR(INDEX(Exercícios!$A$2:$A$42,MATCH(C41,Exercícios!$B$2:$B$42,0)),"")</f>
        <v/>
      </c>
      <c r="E41" s="11"/>
      <c r="F41" s="11"/>
    </row>
    <row r="42" spans="1:6" ht="24" customHeight="1">
      <c r="A42" s="11"/>
      <c r="B42" s="12" t="str">
        <f>IFERROR(INDEX(Exercícios!$A$2:$A$42,MATCH(A42,Exercícios!$B$2:$B$42,0)),"")</f>
        <v/>
      </c>
      <c r="C42" s="11"/>
      <c r="D42" s="12" t="str">
        <f>IFERROR(INDEX(Exercícios!$A$2:$A$42,MATCH(C42,Exercícios!$B$2:$B$42,0)),"")</f>
        <v/>
      </c>
      <c r="E42" s="11"/>
      <c r="F42" s="11"/>
    </row>
    <row r="44" spans="1:6">
      <c r="A44" s="13" t="s">
        <v>123</v>
      </c>
    </row>
    <row r="45" spans="1:6">
      <c r="A45" s="14" t="s">
        <v>124</v>
      </c>
    </row>
  </sheetData>
  <dataValidations count="1">
    <dataValidation type="list" allowBlank="1" sqref="A2:A42 C2 C5:C42" xr:uid="{00000000-0002-0000-0500-000000000000}">
      <formula1>ListaExercicios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4"/>
  <sheetViews>
    <sheetView zoomScaleNormal="100" workbookViewId="0">
      <pane ySplit="1" topLeftCell="A2" activePane="bottomLeft" state="frozen"/>
      <selection pane="bottomLeft" activeCell="E14" sqref="E14"/>
    </sheetView>
  </sheetViews>
  <sheetFormatPr defaultColWidth="8.7109375" defaultRowHeight="15"/>
  <cols>
    <col min="1" max="1" width="30" customWidth="1"/>
    <col min="2" max="2" width="18" customWidth="1"/>
    <col min="3" max="3" width="41.7109375" customWidth="1"/>
    <col min="4" max="4" width="55" customWidth="1"/>
    <col min="5" max="5" width="40" customWidth="1"/>
  </cols>
  <sheetData>
    <row r="1" spans="1:5" ht="31.5" customHeight="1">
      <c r="A1" s="8" t="s">
        <v>125</v>
      </c>
      <c r="B1" s="8" t="s">
        <v>114</v>
      </c>
      <c r="C1" s="8" t="s">
        <v>126</v>
      </c>
      <c r="D1" s="8" t="s">
        <v>127</v>
      </c>
      <c r="E1" s="8" t="s">
        <v>128</v>
      </c>
    </row>
    <row r="2" spans="1:5" ht="30" customHeight="1">
      <c r="A2" s="11" t="s">
        <v>89</v>
      </c>
      <c r="B2" s="10" t="str">
        <f>IFERROR(INDEX(Exercícios!$A$2:$A$42,MATCH(A2,Exercícios!$B$2:$B$42,0)),"")</f>
        <v>EX-001</v>
      </c>
      <c r="C2" s="11">
        <v>1</v>
      </c>
      <c r="D2" s="11" t="s">
        <v>129</v>
      </c>
      <c r="E2" s="11" t="s">
        <v>130</v>
      </c>
    </row>
    <row r="3" spans="1:5" ht="30" customHeight="1">
      <c r="A3" s="11" t="s">
        <v>96</v>
      </c>
      <c r="B3" s="12" t="str">
        <f>IFERROR(INDEX(Exercícios!$A$2:$A$42,MATCH(A3,Exercícios!$B$2:$B$42,0)),"")</f>
        <v>EX-002</v>
      </c>
      <c r="C3" s="11">
        <v>1</v>
      </c>
      <c r="D3" s="20" t="s">
        <v>131</v>
      </c>
      <c r="E3" s="11"/>
    </row>
    <row r="4" spans="1:5" ht="30" customHeight="1">
      <c r="A4" s="11" t="s">
        <v>96</v>
      </c>
      <c r="B4" s="12" t="str">
        <f>IFERROR(INDEX(Exercícios!$A$2:$A$42,MATCH(A4,Exercícios!$B$2:$B$42,0)),"")</f>
        <v>EX-002</v>
      </c>
      <c r="C4" s="11">
        <v>2</v>
      </c>
      <c r="D4" s="19" t="s">
        <v>132</v>
      </c>
      <c r="E4" s="11"/>
    </row>
    <row r="5" spans="1:5" ht="30" customHeight="1">
      <c r="A5" s="11" t="s">
        <v>96</v>
      </c>
      <c r="B5" s="12" t="str">
        <f>IFERROR(INDEX(Exercícios!$A$2:$A$42,MATCH(A5,Exercícios!$B$2:$B$42,0)),"")</f>
        <v>EX-002</v>
      </c>
      <c r="C5" s="11">
        <v>3</v>
      </c>
      <c r="D5" s="18" t="s">
        <v>133</v>
      </c>
      <c r="E5" s="11"/>
    </row>
    <row r="6" spans="1:5" ht="30" customHeight="1">
      <c r="A6" s="11" t="s">
        <v>96</v>
      </c>
      <c r="B6" s="12" t="str">
        <f>IFERROR(INDEX(Exercícios!$A$2:$A$42,MATCH(A6,Exercícios!$B$2:$B$42,0)),"")</f>
        <v>EX-002</v>
      </c>
      <c r="C6" s="11">
        <v>4</v>
      </c>
      <c r="D6" s="18" t="s">
        <v>134</v>
      </c>
      <c r="E6" s="11"/>
    </row>
    <row r="7" spans="1:5" ht="30" customHeight="1">
      <c r="A7" s="11" t="s">
        <v>96</v>
      </c>
      <c r="B7" s="12" t="str">
        <f>IFERROR(INDEX(Exercícios!$A$2:$A$42,MATCH(A7,Exercícios!$B$2:$B$42,0)),"")</f>
        <v>EX-002</v>
      </c>
      <c r="C7" s="11">
        <v>5</v>
      </c>
      <c r="D7" s="18" t="s">
        <v>135</v>
      </c>
      <c r="E7" s="11" t="s">
        <v>136</v>
      </c>
    </row>
    <row r="8" spans="1:5" ht="30" customHeight="1">
      <c r="A8" s="11" t="s">
        <v>101</v>
      </c>
      <c r="B8" s="12" t="str">
        <f>IFERROR(INDEX(Exercícios!$A$2:$A$42,MATCH(A8,Exercícios!$B$2:$B$42,0)),"")</f>
        <v>EX-003</v>
      </c>
      <c r="C8" s="11">
        <v>1</v>
      </c>
      <c r="D8" s="25" t="s">
        <v>137</v>
      </c>
      <c r="E8" s="11"/>
    </row>
    <row r="9" spans="1:5" ht="30" customHeight="1">
      <c r="A9" s="11" t="s">
        <v>101</v>
      </c>
      <c r="B9" s="12" t="str">
        <f>IFERROR(INDEX(Exercícios!$A$2:$A$42,MATCH(A9,Exercícios!$B$2:$B$42,0)),"")</f>
        <v>EX-003</v>
      </c>
      <c r="C9" s="11">
        <v>2</v>
      </c>
      <c r="D9" s="15" t="s">
        <v>138</v>
      </c>
      <c r="E9" s="11"/>
    </row>
    <row r="10" spans="1:5" ht="30" customHeight="1">
      <c r="A10" s="11" t="s">
        <v>101</v>
      </c>
      <c r="B10" s="12" t="str">
        <f>IFERROR(INDEX(Exercícios!$A$2:$A$42,MATCH(A10,Exercícios!$B$2:$B$42,0)),"")</f>
        <v>EX-003</v>
      </c>
      <c r="C10" s="11">
        <v>3</v>
      </c>
      <c r="D10" s="15" t="s">
        <v>139</v>
      </c>
      <c r="E10" s="24"/>
    </row>
    <row r="11" spans="1:5" ht="30" customHeight="1">
      <c r="A11" s="11" t="s">
        <v>101</v>
      </c>
      <c r="B11" s="12" t="str">
        <f>IFERROR(INDEX(Exercícios!$A$2:$A$42,MATCH(A11,Exercícios!$B$2:$B$42,0)),"")</f>
        <v>EX-003</v>
      </c>
      <c r="C11" s="11">
        <v>4</v>
      </c>
      <c r="D11" s="15" t="s">
        <v>140</v>
      </c>
      <c r="E11" s="11"/>
    </row>
    <row r="12" spans="1:5" ht="30" customHeight="1">
      <c r="A12" s="11" t="s">
        <v>106</v>
      </c>
      <c r="B12" s="12" t="str">
        <f>IFERROR(INDEX(Exercícios!$A$2:$A$42,MATCH(A12,Exercícios!$B$2:$B$42,0)),"")</f>
        <v>EX-004</v>
      </c>
      <c r="C12" s="11">
        <v>1</v>
      </c>
      <c r="D12" s="15" t="s">
        <v>141</v>
      </c>
      <c r="E12" s="11"/>
    </row>
    <row r="13" spans="1:5" ht="30" customHeight="1">
      <c r="A13" s="11" t="s">
        <v>106</v>
      </c>
      <c r="B13" s="12" t="str">
        <f>IFERROR(INDEX(Exercícios!$A$2:$A$42,MATCH(A13,Exercícios!$B$2:$B$42,0)),"")</f>
        <v>EX-004</v>
      </c>
      <c r="C13" s="11">
        <v>2</v>
      </c>
      <c r="D13" s="15" t="s">
        <v>142</v>
      </c>
      <c r="E13" s="11"/>
    </row>
    <row r="14" spans="1:5" ht="30" customHeight="1">
      <c r="A14" s="11" t="s">
        <v>106</v>
      </c>
      <c r="B14" s="12" t="str">
        <f>IFERROR(INDEX(Exercícios!$A$2:$A$42,MATCH(A14,Exercícios!$B$2:$B$42,0)),"")</f>
        <v>EX-004</v>
      </c>
      <c r="C14" s="11">
        <v>3</v>
      </c>
      <c r="D14" s="15" t="s">
        <v>143</v>
      </c>
      <c r="E14" s="11"/>
    </row>
    <row r="15" spans="1:5" ht="30" customHeight="1">
      <c r="A15" s="11"/>
      <c r="B15" s="12" t="str">
        <f>IFERROR(INDEX(Exercícios!$A$2:$A$42,MATCH(A15,Exercícios!$B$2:$B$42,0)),"")</f>
        <v/>
      </c>
      <c r="C15" s="11"/>
      <c r="D15" s="11"/>
      <c r="E15" s="11"/>
    </row>
    <row r="16" spans="1:5" ht="30" customHeight="1">
      <c r="A16" s="11"/>
      <c r="B16" s="12" t="str">
        <f>IFERROR(INDEX(Exercícios!$A$2:$A$42,MATCH(A16,Exercícios!$B$2:$B$42,0)),"")</f>
        <v/>
      </c>
      <c r="C16" s="11"/>
      <c r="D16" s="11"/>
      <c r="E16" s="11"/>
    </row>
    <row r="17" spans="1:5" ht="30" customHeight="1">
      <c r="A17" s="11"/>
      <c r="B17" s="12" t="str">
        <f>IFERROR(INDEX(Exercícios!$A$2:$A$42,MATCH(A17,Exercícios!$B$2:$B$42,0)),"")</f>
        <v/>
      </c>
      <c r="C17" s="11"/>
      <c r="D17" s="11"/>
      <c r="E17" s="11"/>
    </row>
    <row r="18" spans="1:5" ht="30" customHeight="1">
      <c r="A18" s="11"/>
      <c r="B18" s="12" t="str">
        <f>IFERROR(INDEX(Exercícios!$A$2:$A$42,MATCH(A18,Exercícios!$B$2:$B$42,0)),"")</f>
        <v/>
      </c>
      <c r="C18" s="11"/>
      <c r="D18" s="11"/>
      <c r="E18" s="11"/>
    </row>
    <row r="19" spans="1:5" ht="30" customHeight="1">
      <c r="A19" s="11"/>
      <c r="B19" s="12" t="str">
        <f>IFERROR(INDEX(Exercícios!$A$2:$A$42,MATCH(A19,Exercícios!$B$2:$B$42,0)),"")</f>
        <v/>
      </c>
      <c r="C19" s="11"/>
      <c r="D19" s="11"/>
      <c r="E19" s="11"/>
    </row>
    <row r="20" spans="1:5" ht="30" customHeight="1">
      <c r="A20" s="11"/>
      <c r="B20" s="12" t="str">
        <f>IFERROR(INDEX(Exercícios!$A$2:$A$42,MATCH(A20,Exercícios!$B$2:$B$42,0)),"")</f>
        <v/>
      </c>
      <c r="C20" s="11"/>
      <c r="D20" s="11"/>
      <c r="E20" s="11"/>
    </row>
    <row r="21" spans="1:5" ht="30" customHeight="1">
      <c r="A21" s="11"/>
      <c r="B21" s="12" t="str">
        <f>IFERROR(INDEX(Exercícios!$A$2:$A$42,MATCH(A21,Exercícios!$B$2:$B$42,0)),"")</f>
        <v/>
      </c>
      <c r="C21" s="11"/>
      <c r="D21" s="11"/>
      <c r="E21" s="11"/>
    </row>
    <row r="22" spans="1:5" ht="30" customHeight="1">
      <c r="A22" s="11"/>
      <c r="B22" s="12" t="str">
        <f>IFERROR(INDEX(Exercícios!$A$2:$A$42,MATCH(A22,Exercícios!$B$2:$B$42,0)),"")</f>
        <v/>
      </c>
      <c r="C22" s="11"/>
      <c r="D22" s="11"/>
      <c r="E22" s="11"/>
    </row>
    <row r="23" spans="1:5" ht="30" customHeight="1">
      <c r="A23" s="11"/>
      <c r="B23" s="12" t="str">
        <f>IFERROR(INDEX(Exercícios!$A$2:$A$42,MATCH(A23,Exercícios!$B$2:$B$42,0)),"")</f>
        <v/>
      </c>
      <c r="C23" s="11"/>
      <c r="D23" s="11"/>
      <c r="E23" s="11"/>
    </row>
    <row r="24" spans="1:5" ht="30" customHeight="1">
      <c r="A24" s="11"/>
      <c r="B24" s="12" t="str">
        <f>IFERROR(INDEX(Exercícios!$A$2:$A$42,MATCH(A24,Exercícios!$B$2:$B$42,0)),"")</f>
        <v/>
      </c>
      <c r="C24" s="11"/>
      <c r="D24" s="11"/>
      <c r="E24" s="11"/>
    </row>
    <row r="25" spans="1:5" ht="30" customHeight="1">
      <c r="A25" s="11"/>
      <c r="B25" s="12" t="str">
        <f>IFERROR(INDEX(Exercícios!$A$2:$A$42,MATCH(A25,Exercícios!$B$2:$B$42,0)),"")</f>
        <v/>
      </c>
      <c r="C25" s="11"/>
      <c r="D25" s="11"/>
      <c r="E25" s="11"/>
    </row>
    <row r="26" spans="1:5" ht="30" customHeight="1">
      <c r="A26" s="11"/>
      <c r="B26" s="12" t="str">
        <f>IFERROR(INDEX(Exercícios!$A$2:$A$42,MATCH(A26,Exercícios!$B$2:$B$42,0)),"")</f>
        <v/>
      </c>
      <c r="C26" s="11"/>
      <c r="D26" s="11"/>
      <c r="E26" s="11"/>
    </row>
    <row r="27" spans="1:5" ht="30" customHeight="1">
      <c r="A27" s="11"/>
      <c r="B27" s="12" t="str">
        <f>IFERROR(INDEX(Exercícios!$A$2:$A$42,MATCH(A27,Exercícios!$B$2:$B$42,0)),"")</f>
        <v/>
      </c>
      <c r="C27" s="11"/>
      <c r="D27" s="11"/>
      <c r="E27" s="11"/>
    </row>
    <row r="28" spans="1:5" ht="30" customHeight="1">
      <c r="A28" s="11"/>
      <c r="B28" s="12" t="str">
        <f>IFERROR(INDEX(Exercícios!$A$2:$A$42,MATCH(A28,Exercícios!$B$2:$B$42,0)),"")</f>
        <v/>
      </c>
      <c r="C28" s="11"/>
      <c r="D28" s="11"/>
      <c r="E28" s="11"/>
    </row>
    <row r="29" spans="1:5" ht="30" customHeight="1">
      <c r="A29" s="11"/>
      <c r="B29" s="12" t="str">
        <f>IFERROR(INDEX(Exercícios!$A$2:$A$42,MATCH(A29,Exercícios!$B$2:$B$42,0)),"")</f>
        <v/>
      </c>
      <c r="C29" s="11"/>
      <c r="D29" s="11"/>
      <c r="E29" s="11"/>
    </row>
    <row r="30" spans="1:5" ht="30" customHeight="1">
      <c r="A30" s="11"/>
      <c r="B30" s="12" t="str">
        <f>IFERROR(INDEX(Exercícios!$A$2:$A$42,MATCH(A30,Exercícios!$B$2:$B$42,0)),"")</f>
        <v/>
      </c>
      <c r="C30" s="11"/>
      <c r="D30" s="11"/>
      <c r="E30" s="11"/>
    </row>
    <row r="31" spans="1:5" ht="30" customHeight="1">
      <c r="A31" s="11"/>
      <c r="B31" s="12" t="str">
        <f>IFERROR(INDEX(Exercícios!$A$2:$A$42,MATCH(A31,Exercícios!$B$2:$B$42,0)),"")</f>
        <v/>
      </c>
      <c r="C31" s="11"/>
      <c r="D31" s="11"/>
      <c r="E31" s="11"/>
    </row>
    <row r="32" spans="1:5" ht="30" customHeight="1">
      <c r="A32" s="11"/>
      <c r="B32" s="12" t="str">
        <f>IFERROR(INDEX(Exercícios!$A$2:$A$42,MATCH(A32,Exercícios!$B$2:$B$42,0)),"")</f>
        <v/>
      </c>
      <c r="C32" s="11"/>
      <c r="D32" s="11"/>
      <c r="E32" s="11"/>
    </row>
    <row r="34" spans="1:1">
      <c r="A34" s="14" t="s">
        <v>144</v>
      </c>
    </row>
  </sheetData>
  <autoFilter ref="A1:E32" xr:uid="{00000000-0001-0000-0600-000000000000}"/>
  <dataValidations count="1">
    <dataValidation type="list" allowBlank="1" sqref="A2:A32" xr:uid="{00000000-0002-0000-0600-000000000000}">
      <formula1>ListaExercicios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2026-09-09T22:13:13Z</dcterms:created>
  <dcterms:modified xsi:type="dcterms:W3CDTF">2026-09-28T22:19:18Z</dcterms:modified>
  <cp:category/>
  <cp:contentStatus/>
</cp:coreProperties>
</file>